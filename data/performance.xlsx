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activeTab="0"/>
  </bookViews>
  <sheets>
    <sheet sheetId="1" name="考核表" state="visible" r:id="rId4"/>
    <sheet sheetId="2" name="需求" state="visible" r:id="rId5"/>
    <sheet sheetId="3" name="缺陷" state="visible" r:id="rId6"/>
    <sheet sheetId="4" name="代码提交记录" state="visible" r:id="rId7"/>
    <sheet sheetId="5" name="代码评审" state="visible" r:id="rId8"/>
    <sheet sheetId="6" name="代码迁移-一体化" state="visible" r:id="rId9"/>
    <sheet sheetId="7" name="项目打包（只作为打包登记）" state="visible" r:id="rId10"/>
    <sheet sheetId="8" name="加减分类别" state="visible" r:id="rId11"/>
  </sheets>
  <calcPr calcId="171027" fullCalcOnLoad="1"/>
</workbook>
</file>

<file path=xl/sharedStrings.xml><?xml version="1.0" encoding="utf-8"?>
<sst xmlns="http://schemas.openxmlformats.org/spreadsheetml/2006/main" count="8529" uniqueCount="1203">
  <si>
    <t>类别</t>
  </si>
  <si>
    <t>考核指标</t>
  </si>
  <si>
    <t>评分标准</t>
  </si>
  <si>
    <t>指标权重</t>
  </si>
  <si>
    <t>自评分</t>
  </si>
  <si>
    <t>直接上级评分</t>
  </si>
  <si>
    <t>普通员工</t>
  </si>
  <si>
    <t>部门（副）经理</t>
  </si>
  <si>
    <t>目标考核指标</t>
  </si>
  <si>
    <t>日常工作违规扣分</t>
  </si>
  <si>
    <t>以考核期目标分扣分项为准</t>
  </si>
  <si>
    <t>-</t>
  </si>
  <si>
    <t>小计</t>
  </si>
  <si>
    <t>工作量指标</t>
  </si>
  <si>
    <t>缺陷工作量</t>
  </si>
  <si>
    <t>数据来源统计</t>
  </si>
  <si>
    <t>开发需求工作量</t>
  </si>
  <si>
    <t>代码提交</t>
  </si>
  <si>
    <t>代码迁移（一体化）</t>
  </si>
  <si>
    <t>项目打包（只做打包登记）</t>
  </si>
  <si>
    <t>是否逾期</t>
  </si>
  <si>
    <t>加分项</t>
  </si>
  <si>
    <t>减分项</t>
  </si>
  <si>
    <t>工作质量指标</t>
  </si>
  <si>
    <t>代码优化</t>
  </si>
  <si>
    <t>引出缺陷</t>
  </si>
  <si>
    <t>验证通过</t>
  </si>
  <si>
    <t>重大缺陷</t>
  </si>
  <si>
    <t>代码评审</t>
  </si>
  <si>
    <t>合并代码不通过</t>
  </si>
  <si>
    <t>超期未评估或私自篡改时间</t>
  </si>
  <si>
    <t>需求反复</t>
  </si>
  <si>
    <t>未向上反馈</t>
  </si>
  <si>
    <t>合计</t>
  </si>
  <si>
    <t>提交编号</t>
  </si>
  <si>
    <t>项目名称</t>
  </si>
  <si>
    <t>PP单号、任务/问题列表编号</t>
  </si>
  <si>
    <t>产品标识</t>
  </si>
  <si>
    <t>工作内容</t>
  </si>
  <si>
    <t>需求等级</t>
  </si>
  <si>
    <t>登记日期</t>
  </si>
  <si>
    <t>终审日期</t>
  </si>
  <si>
    <t>提交分支</t>
  </si>
  <si>
    <t>备注</t>
  </si>
  <si>
    <t>工作量</t>
  </si>
  <si>
    <t>20250301001</t>
  </si>
  <si>
    <t>标准产品</t>
  </si>
  <si>
    <t>需求</t>
  </si>
  <si>
    <t>gwwy-uniapp</t>
  </si>
  <si>
    <t>#20250301001 功能修改: fix(pcx-expense-detail-info): 移除报销金额为空的校验逻辑</t>
  </si>
  <si>
    <t>2025年3月1日</t>
  </si>
  <si>
    <t>develop</t>
  </si>
  <si>
    <t>20250301002</t>
  </si>
  <si>
    <t>#20250301002 功能优化: 首页下拉刷新或滚动到底部刷新只刷新内容区域,不进行整页 loading.</t>
  </si>
  <si>
    <t>20250304001</t>
  </si>
  <si>
    <t>辽宁总工会</t>
  </si>
  <si>
    <t>pfs</t>
  </si>
  <si>
    <t>#20250304001  功能需求: 辽宁总工会财政拨款支出明细决算表个性化逻辑处理,根据分类科目进行金额汇总, 合计只合计编号长度为 3 位的.</t>
  </si>
  <si>
    <t>2025年3月3日</t>
  </si>
  <si>
    <t>20250304003</t>
  </si>
  <si>
    <t xml:space="preserve">#20250304003 功能需求: 添加 specificity 数据并优化票据展示,在多个组件中添加 specificity 数据的获取和存储; 优化待确认票据的展示样式，增加提示信息和等信息文本; 调整日期和提示信息的样式，保持内容不超出显示区域
</t>
  </si>
  <si>
    <t>2025年3月4日</t>
  </si>
  <si>
    <t>20250308002</t>
  </si>
  <si>
    <t xml:space="preserve">#20250308002 功能优化: 优化多个组件的样式细节;调整了多个组件的边距、内边距等样式;优化了部分文本显示样式，如添加省略号等;统一了分割线样式;调整了部分颜色和字体大小
</t>
  </si>
  <si>
    <t>2025年3月8日</t>
  </si>
  <si>
    <t>20250310001</t>
  </si>
  <si>
    <t>代码迁移-需求</t>
  </si>
  <si>
    <t>#20241250003 功能优化: 报表设计，导出报表（系统）方式会丢失子文件夹分级;[KFXQ-CX-2024120900058]</t>
  </si>
  <si>
    <t>2025年3月10日</t>
  </si>
  <si>
    <t>20250310002</t>
  </si>
  <si>
    <t>#20250310002 功能优化: 调整理票页面相关样式</t>
  </si>
  <si>
    <t>20250319001</t>
  </si>
  <si>
    <t>#20250319001 功能需求: 理票页面手动添加票据时,如果无返程\无出发的行程时,支持手动加票或补充无票原因等信息</t>
  </si>
  <si>
    <t>2025年3月19日</t>
  </si>
  <si>
    <t>20250319002</t>
  </si>
  <si>
    <t>#20250319002 功能需求: 理票页面行程外票据展示逻辑调整,如果没有有行程的数据, 就不展示行程外票据.</t>
  </si>
  <si>
    <t>20250320002</t>
  </si>
  <si>
    <t>#20250320002 功能完善: 单据变更后, 关联合同\票据信息\票据列表都不能进行修改操作.</t>
  </si>
  <si>
    <t>2025年3月20日</t>
  </si>
  <si>
    <t>20250324002</t>
  </si>
  <si>
    <t>#20250324002 功能需求: 手动加票时添加微信文件类别. 调整加票路由跳转逻辑, 防止在小程序上因参数 understand 导致跳转报错.</t>
  </si>
  <si>
    <t>2025年3月24日</t>
  </si>
  <si>
    <t>20250327002</t>
  </si>
  <si>
    <t>#20250327002 功能需求:  理票页面住宿费的票添加是否为真\是否水单展示逻辑</t>
  </si>
  <si>
    <t>2025年3月27日</t>
  </si>
  <si>
    <t>20250327003</t>
  </si>
  <si>
    <t>#20250327003 功能优化: 出纳确认时, 添加已变更的票不能进行补充票限制.</t>
  </si>
  <si>
    <t>20250331003</t>
  </si>
  <si>
    <t>#20250331003 功能需求: 理票页面添加行程流程展示, 并支持根据行程对票据进行过滤展示. 添加理票页报销设置功能, 可配置是否多部门报销.</t>
  </si>
  <si>
    <t>2025年3月31日</t>
  </si>
  <si>
    <t>缺陷描述及原因</t>
  </si>
  <si>
    <t>缺陷引出人员</t>
  </si>
  <si>
    <t>缺陷引出部门</t>
  </si>
  <si>
    <t>缺陷等级</t>
  </si>
  <si>
    <t>登记人</t>
  </si>
  <si>
    <t>AI使用截图（Picsur：http://223.223.178.68:2277/）</t>
  </si>
  <si>
    <t>AI评审人</t>
  </si>
  <si>
    <t>AI评审日期</t>
  </si>
  <si>
    <t>AI评审意见</t>
  </si>
  <si>
    <t>初审人</t>
  </si>
  <si>
    <t>初审日期</t>
  </si>
  <si>
    <t>初审意见</t>
  </si>
  <si>
    <t>终审人</t>
  </si>
  <si>
    <t>终审意见</t>
  </si>
  <si>
    <t>自动化测试脚本运行结果截图</t>
  </si>
  <si>
    <t>自动化测试评审人</t>
  </si>
  <si>
    <t>自动化测试评审时间</t>
  </si>
  <si>
    <t>是否需要调整自动化脚本</t>
  </si>
  <si>
    <t>自动化脚本是否覆盖该场景</t>
  </si>
  <si>
    <t>复核人</t>
  </si>
  <si>
    <t>复核日期</t>
  </si>
  <si>
    <t>复核意见</t>
  </si>
  <si>
    <t>合并人</t>
  </si>
  <si>
    <t>合并日期</t>
  </si>
  <si>
    <t>20250222001</t>
  </si>
  <si>
    <t>pex</t>
  </si>
  <si>
    <t>#20250222001 功能优化：修改处理扫码枪录入点击方法名</t>
  </si>
  <si>
    <t>陈龙</t>
  </si>
  <si>
    <t>2025年2月22日</t>
  </si>
  <si>
    <t>赵志伟、豆方威</t>
  </si>
  <si>
    <t>调整方法名，无需AI</t>
  </si>
  <si>
    <t>豆方威</t>
  </si>
  <si>
    <t>一次评审通过</t>
  </si>
  <si>
    <t>沈亚倩</t>
  </si>
  <si>
    <t>http://223.223.178.68:2277/i/27d61bee-3e57-4b30-9c76-695690363cc0.jpg</t>
  </si>
  <si>
    <t>熊宇航、张国伟</t>
  </si>
  <si>
    <t>2025年2月27日</t>
  </si>
  <si>
    <t>否</t>
  </si>
  <si>
    <t>何佳浩</t>
  </si>
  <si>
    <t>20250221008</t>
  </si>
  <si>
    <t>gfr</t>
  </si>
  <si>
    <t>#20250221008 功能新增：1.部门财务报告-年初数调整节点备注列参照综合调整2.部门财务报告-自审节点-年初数调整表本年年初数列增加查看明细弹窗3.部门、部门司、国库司-综合审核-报表项目增加查询组成功能【GFR202502057】</t>
  </si>
  <si>
    <t>王旭超</t>
  </si>
  <si>
    <t>2025年2月21日</t>
  </si>
  <si>
    <t>增加弹窗，可基于已有代码实现，无需AI</t>
  </si>
  <si>
    <t>田成全</t>
  </si>
  <si>
    <t>赵志伟</t>
  </si>
  <si>
    <t>2025年3月11日</t>
  </si>
  <si>
    <t>20250221006</t>
  </si>
  <si>
    <t>#20250221006 功能新增：部门财务报告-编制报表-查看退回详情-增加导出功能【GFR202502060】</t>
  </si>
  <si>
    <t>添加导出功能，调用接口即可，逻辑简单， 无需AI</t>
  </si>
  <si>
    <t>20250221005</t>
  </si>
  <si>
    <t>#20250221005 功能新增：部门财务报告-设置报告封面-1.基层单位：说明放在实有人数附近。2.上级：增加查看详情查看基层填写的说明【GFR202502070】</t>
  </si>
  <si>
    <t>增加提示说明，逻辑简单，无需AI</t>
  </si>
  <si>
    <t>20250221004</t>
  </si>
  <si>
    <t>#20250221004 需求补充：1、总会计报表-多账套类型取数接口添加参数【GFR202409026】</t>
  </si>
  <si>
    <t>胡艳闯</t>
  </si>
  <si>
    <t>杨东、郝建宇</t>
  </si>
  <si>
    <t>逻辑简单，未使用AI</t>
  </si>
  <si>
    <t>谢润琳</t>
  </si>
  <si>
    <t>20250221003</t>
  </si>
  <si>
    <t>#20250221003 功能更新:1、部门财务报告-与同级财政对账页面调整页面展内容添加导出功能【GFR202502062】</t>
  </si>
  <si>
    <t>20250221002</t>
  </si>
  <si>
    <t>#20250221002 功能更新：1、行政区报表编报页面-全表导出接口添加参数【GFR202502020】</t>
  </si>
  <si>
    <t>20250221001</t>
  </si>
  <si>
    <t>#20250221001 功能更新：1、调整部门财务报告-报表编报页面查询组成功能浮动表添加往来单位调整为树表【GFR202502061】</t>
  </si>
  <si>
    <t>ecs</t>
  </si>
  <si>
    <t>#20250221001 功能新增：电子凭证新增红冲票类型【ECS202408005】</t>
  </si>
  <si>
    <t>常博</t>
  </si>
  <si>
    <t>2025年3月5日</t>
  </si>
  <si>
    <t>电子凭证增加票据类型，常量的修改，无需Ai</t>
  </si>
  <si>
    <t>2025年3月12日</t>
  </si>
  <si>
    <t>bud</t>
  </si>
  <si>
    <t>#20250221001 功能优化：额度查询页面新增合计，排序，表头过滤，定义指标要素去掉字符名称改成鼠标悬浮显示【BUD202502006】</t>
  </si>
  <si>
    <t>增加表头过滤，表尾合计，可使用最佳代码实践实现，无需AI</t>
  </si>
  <si>
    <t>陈倩、武显明</t>
  </si>
  <si>
    <t>2025年3月7日</t>
  </si>
  <si>
    <t>prj</t>
  </si>
  <si>
    <t>#20250221001 功能需求【江苏食品药品】：绩效目标填报优化，平铺式默认带出指标体系初始化载入设置指标体系【KFXQ-CX-2024120400071】</t>
  </si>
  <si>
    <t>周兴杰</t>
  </si>
  <si>
    <t>2025年2月25日</t>
  </si>
  <si>
    <t>添加默认值赋值，无需AI</t>
  </si>
  <si>
    <t>2025年2月26日</t>
  </si>
  <si>
    <t>http://223.223.178.68:2277/i/18c5deb1-7600-4335-8caf-bf157356bf4c.jpg</t>
  </si>
  <si>
    <t>韩云、武显明</t>
  </si>
  <si>
    <t>是</t>
  </si>
  <si>
    <t>eva</t>
  </si>
  <si>
    <t>#20250221001 功能需求【江苏食品药品】：部门整体支出目标填报、部门整体支出目标填报-新、监控填报、绩效自评填报页面均增加“重新选择模板弹框”功能，在项目模板设置页面增加部门整体支出目标模板配置功能【PRJGX202501020】</t>
  </si>
  <si>
    <t>翟雨欣</t>
  </si>
  <si>
    <t>http://223.223.178.68:2277/i/2f053feb-642a-40b4-90c9-47f556ef8952.jpg</t>
  </si>
  <si>
    <t>使用AI优化代码，并多次提问，排除潜在问题</t>
  </si>
  <si>
    <t>http://223.223.178.68:2277/i/7d0a673d-982d-4c97-911b-0b049e869674.jpg</t>
  </si>
  <si>
    <t>现场版本是固定版本，可根据固化分支进行打包即可</t>
  </si>
  <si>
    <t>uniapp</t>
  </si>
  <si>
    <t>#20250221001 问题修复：解决个人名下资产页面查询的单据出现已作废的单据问题和总数对不上问题【YWGD-CX-2025021700063】</t>
  </si>
  <si>
    <t>温建栋</t>
  </si>
  <si>
    <t>调整字段取值，和计算逻辑，简单改动，无需AI</t>
  </si>
  <si>
    <t>2025年3月13日</t>
  </si>
  <si>
    <t>20250220009</t>
  </si>
  <si>
    <t>#20250220009 功能新增：部门财务报告-编制报表-税款相关的数据都选择其他单位，因为税务不进行抵消，需要在报表下方空白处增加提示，提示语为：涉及税款相关的，往来单位应选“其他单位”。【GFR202502069】</t>
  </si>
  <si>
    <t>http://223.223.178.68:2277/i/fa9b6015-c9d7-4e9c-8955-5cb05a0a1546.jpg</t>
  </si>
  <si>
    <t>使用AI调整页面显示的逻辑，主要涉及样式的调整，AI给出可用的调整方案，节约时间</t>
  </si>
  <si>
    <t>20250220007</t>
  </si>
  <si>
    <t>#20250220007 功能优化：部门财务报告-编制报表-1.点击查看退回详情报错2.退回详情与资产报告对账表样与自审同步【GFR202502013】</t>
  </si>
  <si>
    <t>2025年2月20日</t>
  </si>
  <si>
    <t>主要是业务逻辑的调整，改动也较简单，无需Ai</t>
  </si>
  <si>
    <t>20250220005</t>
  </si>
  <si>
    <t>#20250220005 功能更新：部门、综合审核与上报节点页面添加复核状态【GFR202502030】</t>
  </si>
  <si>
    <t>20250220003</t>
  </si>
  <si>
    <t>#20250220003 功能更新：1、部门财务报告-编制抵销分录待生成添加报表项目列【GFR202502072】</t>
  </si>
  <si>
    <t>20250220002</t>
  </si>
  <si>
    <t>#20250220002 功能更新：1、调整部门、部门司、国库司综合审核对账事项审核超阈值去掉高亮【GFR202502063】</t>
  </si>
  <si>
    <t>20250220001</t>
  </si>
  <si>
    <t>#20250220001 功能调整：部门综合行政区-编制报表-含有报表[说明]的点击进去后，把[审核公式说明]改为[说明]【GFR202502058】</t>
  </si>
  <si>
    <t>调整显示的文案，无需AI</t>
  </si>
  <si>
    <t>orange-shanxi</t>
  </si>
  <si>
    <t>#20250220001 功能新增：湖北一体化新增分录行是否允许增减机制凭证控制规则【YTH202502010】</t>
  </si>
  <si>
    <t>增加规则项，逻辑简单，无需AI</t>
  </si>
  <si>
    <t>20250218001</t>
  </si>
  <si>
    <t>wit-uniapp</t>
  </si>
  <si>
    <t>#20250218001 问题修复：解决企业微信消息推送的单子缺少taskId参数无法送审问题【QXWT-CX-2025021100008】</t>
  </si>
  <si>
    <t>调整字段取值，逻辑简单，无需AI</t>
  </si>
  <si>
    <t>20250219003</t>
  </si>
  <si>
    <t>#20250219003 问题修复【自然资源部】：二级项目二上细化审核页面更多查询条件&lt;打捆项目&gt;&lt;归口司局&gt;下拉选项通过接口实时获取【QXWT-CX-2025020600036】</t>
  </si>
  <si>
    <t>代吉盛</t>
  </si>
  <si>
    <t>2025年2月19日</t>
  </si>
  <si>
    <t>2025年2月24日</t>
  </si>
  <si>
    <t>调整选项取值来源，无需AI</t>
  </si>
  <si>
    <t>http://223.223.178.68:2277/i/f221853e-3cef-4fa7-8415-4dd0ae06d3ba.jpg</t>
  </si>
  <si>
    <t>2025年3月17日</t>
  </si>
  <si>
    <t>#20250219003 功能更新：1、部门、总会计所有对账页面，调整差额列取值方式，表格底部添加合计值【GFR202502008】</t>
  </si>
  <si>
    <t>20250219002</t>
  </si>
  <si>
    <t>#20250219002 功能优化：报表分析功能优化-报表分析优化（1）（7）【GFR202411003】</t>
  </si>
  <si>
    <t>优化功能逻辑，主要是业务逻辑，无需AI</t>
  </si>
  <si>
    <t>20250219001</t>
  </si>
  <si>
    <t>#20250219001 问题修复：1、调整部门财务报告-与资产报告对账页面-跳转到编报页面顶部按钮显示不完整问题(黑龙江-207)</t>
  </si>
  <si>
    <t>20250218003</t>
  </si>
  <si>
    <t>#20250218003 问题修复【江南大学】：项目预览页面/prj/billSchema/get/{billFunc} 接口，为了区分二上页面 -- 已批复，预览查询样式错误问题增加固定参数，表示当前操作是从二上页面发起的【QXWT-CX-2025021200054】</t>
  </si>
  <si>
    <t>2025年2月18日</t>
  </si>
  <si>
    <t>添加接口参数，无需AI</t>
  </si>
  <si>
    <t>武显明、韩云</t>
  </si>
  <si>
    <t xml:space="preserve">已合并
现场版本是固定版本，可根据固化分支进行打包即可</t>
  </si>
  <si>
    <t>20250218002</t>
  </si>
  <si>
    <t>#20250218002 问题修复：1、调整部门、综合、行政区审核与上报页面，上下年变动率合计行不可编辑问题(财报3.0-312)</t>
  </si>
  <si>
    <t>#20250222001 功能更新：1、部门、总会计报表编报页面股权投资表公式调整【GFR202502046】</t>
  </si>
  <si>
    <t>20250223001</t>
  </si>
  <si>
    <t>#20250223001 功能更新：调整综合财务报告表样发生变化页面展示及汇总原因弹窗控制调整【GFR202502019】</t>
  </si>
  <si>
    <t>2025年2月23日</t>
  </si>
  <si>
    <t>20250224001</t>
  </si>
  <si>
    <t>#20250224001 功能更新：1、部门、综合、行政区审核与上报页面上下年变动率节点差额查询组成添加变动率、备注列【GFR202502055】</t>
  </si>
  <si>
    <t>#20250224001 功能需求：验证码登录时增加多用户切换功能【KFXQ-CX-2025022000060】</t>
  </si>
  <si>
    <t>基于已有代码改造，无需AI</t>
  </si>
  <si>
    <t>gal</t>
  </si>
  <si>
    <t>#20250224001 功能需求【新疆维吾尔自治区】：账务处理-凭证编制，制作好凭证后选择保存为模板时，模板名称前增加红色星号必填符号【GAL202502026】</t>
  </si>
  <si>
    <t>增加必填标识，逻辑简单，无需AI</t>
  </si>
  <si>
    <t>http://223.223.178.68:2277/i/c31ebf7d-3b57-4f92-90f1-8b61cf0dc355.jpg</t>
  </si>
  <si>
    <t>刘洁、肖文辉</t>
  </si>
  <si>
    <t>代码已合并至develop、test</t>
  </si>
  <si>
    <t>pct</t>
  </si>
  <si>
    <t>#20250224001 功能优化：修改审核弹窗样式，新增常用审核意见和添加审核意见【KFXQ-CX-2025022100056】</t>
  </si>
  <si>
    <t>调整审核意见框样式，无需AI</t>
  </si>
  <si>
    <t>pur</t>
  </si>
  <si>
    <t>#20250224001 功能优化：修改审核弹窗样式，新增常用审核意见和添加审核意见【KFXQ-CX-2025022100055】</t>
  </si>
  <si>
    <t>意见框是已有代码，基于已有代码调整接口即可，无需AI</t>
  </si>
  <si>
    <t>#20250224001 功能优化：修改审核弹窗样式，新增常用审核意见和添加审核意见【KFXQ-CX-2025022100053】</t>
  </si>
  <si>
    <t>20250224005</t>
  </si>
  <si>
    <t>#20250224005 功能新增：报销文件箱上传增加OA附件上传【ECS202502017】</t>
  </si>
  <si>
    <t>增加附件上传方式，可参考已有代码，逻辑简单，无需AI</t>
  </si>
  <si>
    <t>http://223.223.178.68:2277/i/dcdfbb94-b52d-482f-8613-57ed83ea0b5d.jpg</t>
  </si>
  <si>
    <t>orange</t>
  </si>
  <si>
    <t>#20250224001 功能新增：第三方附件下载弹框增加属性优化弹框样式冲突【ECS202502017】</t>
  </si>
  <si>
    <t>弹窗增加属性，逻辑简单，无需AI</t>
  </si>
  <si>
    <t>20250225001</t>
  </si>
  <si>
    <t>#20250225001 功能需求：更新项目打包文件【KFXQ-CX-2025022400003】</t>
  </si>
  <si>
    <t>调整项目打包配置，无需AI</t>
  </si>
  <si>
    <t>#20250225001 功能更新：1、部门财务报告-报表编报页面附表6-2底部添加提示信息【GFR202502075】</t>
  </si>
  <si>
    <t>20250225002</t>
  </si>
  <si>
    <t>#20250225002 功能完善：调整message提示默认显示时间【GFR202502076】</t>
  </si>
  <si>
    <t>http://223.223.178.68:2277/i/1411865a-f994-47f4-a40d-c570988dabbc.jpg</t>
  </si>
  <si>
    <t>通过需求描述让AI生成了代码，并根据其生成的代码让AI改正</t>
  </si>
  <si>
    <t>#20250225001 功能新增：电子凭证批量上传票据后点击“确认信息”支持自动切换下一张待确认票据【ECS202502022】</t>
  </si>
  <si>
    <t>http://223.223.178.68:2277/i/0be1f8c9-e75b-4fec-bf64-7a96fcbfaeb4.jpg</t>
  </si>
  <si>
    <t>使用AI优化代码，Ai优化后的代码可用，节约时间</t>
  </si>
  <si>
    <t xml:space="preserve">#20250225001 功能新增：电子凭证批量上传票据后点击“确认信息”支持自动切换下一张待确认票据【ECS202502022】																								</t>
  </si>
  <si>
    <t xml:space="preserve">#20250225001 功能新增：电子凭证批量上传票据后点击“确认信息”支持自动切换下一张待确认票据【ECS202502022】																																</t>
  </si>
  <si>
    <t>20250225003</t>
  </si>
  <si>
    <t>#20250225003 问题修复：调整部门财务报告-管理下级财务报告按类别对账事项审核通过不通过接口参数(财政部-320)</t>
  </si>
  <si>
    <t>#20250225001 功能优化：指标控制规则所有下拉选项新增查询</t>
  </si>
  <si>
    <t>添加组件属性，无需AI</t>
  </si>
  <si>
    <t>#20250225001 问题修复【地质科学研究所】：预算追加后，点击保存后 ，指标管理项目金额和项目金额不一致【QXWT-CX-2025022400076】</t>
  </si>
  <si>
    <t>http://223.223.178.68:2277/i/e4c103e0-047a-4f0d-bc1f-98594370b5cf.jpg</t>
  </si>
  <si>
    <t>使用AI解决vxe合计方法的问题，AI给出了可能的情况，帮助开发节约大量时间</t>
  </si>
  <si>
    <t>20250225004</t>
  </si>
  <si>
    <t>#20250225004 功能完善：部门、总会计、本级综合（大小本级）、行政区-表样完善【GFR202502046】</t>
  </si>
  <si>
    <t>http://223.223.178.68:2277/i/62f7a48f-4ed0-48fb-be21-b5343bfa1a02.jpg</t>
  </si>
  <si>
    <t>使用AI处理不同的数据情况，AI给出了解决方案，能够很好的避免已知问题</t>
  </si>
  <si>
    <t>#20250225002 问题修复【地质科学研究所】：项目信息，项目项合计数是所有预算项包含上级预算项的合计数，合计异常【QXWT-CX-2025022400092】</t>
  </si>
  <si>
    <t>合计的处理，有类似的解决方案，无需重复使用AI</t>
  </si>
  <si>
    <t>20250225006</t>
  </si>
  <si>
    <t>#20250225006 功能更新：部门、部门司、国库司审核与上报、下级单位管理上下年变动率调整行高亮控制逻辑【GFR202502077】</t>
  </si>
  <si>
    <t>pay</t>
  </si>
  <si>
    <t>#20250225001 问题修复：预算执行-部门确认结转结余核批表-表格字段错误修复【现场提出无编号】</t>
  </si>
  <si>
    <t>王帆</t>
  </si>
  <si>
    <t>调整显示的字段，无需AI</t>
  </si>
  <si>
    <t>20250226001</t>
  </si>
  <si>
    <t>#20250226001 功能新增：机制凭证状态去掉生成中，将待生成变成生成失败，将待生成和已生成保持一样【YTH202412008】</t>
  </si>
  <si>
    <t>调整状态，逻辑简单，无需AI</t>
  </si>
  <si>
    <t>2025年3月6日</t>
  </si>
  <si>
    <t>#20250226001 功能新增：部门财务报告-报表编报页面附表17-1债权人列调整为选择输入框【GFR202502054】</t>
  </si>
  <si>
    <t>http://223.223.178.68:2277/i/634b07e4-898e-479a-a57e-f4d9000bcee2.jpg</t>
  </si>
  <si>
    <t>让AI根据需求描述生成代码，通过调试代码可用</t>
  </si>
  <si>
    <t>#20250226001 功能优化：采购分包块新增显示逻辑，取配置项的值【KFXQ-CX-2025022500102】</t>
  </si>
  <si>
    <t>调整显示条件，增加配置显示，逻辑简单，无需AI</t>
  </si>
  <si>
    <t>ast</t>
  </si>
  <si>
    <t>#20250226001 功能需求：广东公安项目-资产管理-业务记账-资产计提折旧页签下添加凭证号列【KFXQ-CX-2025021000048】</t>
  </si>
  <si>
    <t>添加表格列，无需AI</t>
  </si>
  <si>
    <t>http://223.223.178.68:2277/i/5b2018f0-4ddd-4852-b09a-3a15e810c4e3.jpg</t>
  </si>
  <si>
    <t>高若云 梁紫琼</t>
  </si>
  <si>
    <t>20250226002</t>
  </si>
  <si>
    <t>#20250226002 功能更新：部门财务报告-审核与上报会计报表复核功能提示信息展示方式调整【GFR202502071】</t>
  </si>
  <si>
    <t>http://223.223.178.68:2277/i/2504f5fa-0b11-4157-8874-3570dd0ef938.jpg</t>
  </si>
  <si>
    <t>根据需求描述让AI生成</t>
  </si>
  <si>
    <t>#20250226002 功能完善：部门/部门司/国库司-附表6-1查看详情表样修改【GFR202502057】</t>
  </si>
  <si>
    <t>调整页面样式，无需AI</t>
  </si>
  <si>
    <t>20250227001</t>
  </si>
  <si>
    <t>#20250227001 功能新增：部门财务报告-管理下级-对账事项审核页面改造【GFR202502074】</t>
  </si>
  <si>
    <t>http://223.223.178.68:2277/i/28d2473b-ae35-45e0-80c5-2c0ff16dad09.jpg</t>
  </si>
  <si>
    <t>使用AI处理表格高亮显示，处理合计行，AI给出了可行的代码逻辑，节约开发时间</t>
  </si>
  <si>
    <t>2025年3月18日</t>
  </si>
  <si>
    <t>#20250227001 项目打包：更新项目打包配置文件【KFXQ-CX-2025022600079】</t>
  </si>
  <si>
    <t>#20250227001 功能新增：【内蒙一体化】机制凭证控制规则细化【YTH202412007】</t>
  </si>
  <si>
    <t>调整规则显示，逻辑简单，无需AI</t>
  </si>
  <si>
    <t>#20250227001 问题修复：修复附件修改密级改为模块内引入【QXWT-CX-2025022700013】</t>
  </si>
  <si>
    <t>调整模块引入，无需AI</t>
  </si>
  <si>
    <t>#20250227001 功能优化：经费来源块选择指标把指标数据发布，采购分包块订阅指标数据作为下拉选项【KFXQ-CX-2025022600038】</t>
  </si>
  <si>
    <t>处理数据赋值，逻辑简单，无需AI</t>
  </si>
  <si>
    <t>20250227002</t>
  </si>
  <si>
    <t>#20250227002 功能新增厦门一体化支持从报销跳转电子凭证【KFXQ-CX-2024121900007】</t>
  </si>
  <si>
    <t>修春铭</t>
  </si>
  <si>
    <t>http://223.223.178.68:2277/i/d81e7d4d-54c5-423c-8639-2ef4bb415a60.jpg</t>
  </si>
  <si>
    <t>询问AI单点登录的逻辑，使用AI生成功能代码，节约时间</t>
  </si>
  <si>
    <t>mad</t>
  </si>
  <si>
    <t>#20250227001 问题修复：树形列表展示total错误【QXWT-CX-2025022600087】</t>
  </si>
  <si>
    <t>调整树形列表总数计算逻辑，无需AI</t>
  </si>
  <si>
    <t>#20250227002 功能优化：采购申请，采购审批，采购变更，保存时如果有默认值则将默认值也带过去【KFXQ-CX-2025022600037】</t>
  </si>
  <si>
    <t>保存时增加默认值赋值，无需AI</t>
  </si>
  <si>
    <t>#20250227001 问题修复【新疆维吾尔自治区】：项目管理储备库单据审核，待审核单据打开会报错"数据查询失败【QXWT-CX-2025022500047】</t>
  </si>
  <si>
    <t>2025年2月28日</t>
  </si>
  <si>
    <t>报错问题，有明显报错信息，排查较为简单，无需AI</t>
  </si>
  <si>
    <t>#20250227001 功能需求：单机版决算-系统升级-重新修改系统升级页面，添加分页，优化样式【CZBDJB202501016】</t>
  </si>
  <si>
    <t>调整样式，无需AI</t>
  </si>
  <si>
    <t>2025年3月14日</t>
  </si>
  <si>
    <t>rm</t>
  </si>
  <si>
    <t>#20250227001 功能新增：【收入发布】页面表格添加汇款日期列【KFXQ-CX-2025022600024】</t>
  </si>
  <si>
    <t>添加表格列，逻辑简单，无需AI</t>
  </si>
  <si>
    <t>20250228001</t>
  </si>
  <si>
    <t>#20250228001 功能优化【815内控】：项目概述块修改是否可被选取，增加了对 summaryClassifyLevelCode 字段的判断【KFXQ-CX-2025010700078】</t>
  </si>
  <si>
    <t>http://223.223.178.68:2277/i/50e35673-2f45-4248-a8ef-44de4dadef5e.jpg</t>
  </si>
  <si>
    <t>使用AI生成指定的代码逻辑，AI给出的结论可用，节约大量时间</t>
  </si>
  <si>
    <t>#20250228001 功能新增：资产报销单，选择资产入库单，增加获取对应附件清单的功能，受资源权限控制【PEX202502012】【KFXQ-CX-2025021900021】</t>
  </si>
  <si>
    <t>赵志伟、张猛</t>
  </si>
  <si>
    <t>添加带值功能，改动跨组件，且主要是数据的赋值，无需AI</t>
  </si>
  <si>
    <t>http://223.223.178.68:2277/i/1b47ac37-3929-4df7-a713-a731a2ff0ab4.jpg</t>
  </si>
  <si>
    <t>张国伟、熊宇航</t>
  </si>
  <si>
    <t>#20250228001 功能优化：【年末处理】对于界面各块状态展示接口报错时特殊处理展示获取状态失败【KFXQ-CX-2025022600007】</t>
  </si>
  <si>
    <t>调整接口报错失败时的状态，无需AI</t>
  </si>
  <si>
    <t>#20250228001 功能优化：【项目】新增项目项目负责人下拉选列表展示编码和名称（区分重名情况）【KFXQ-CX-2025022600018】</t>
  </si>
  <si>
    <t>http://223.223.178.68:2277/i/77110bda-f80f-4226-85f8-b8e062b95be4.jpg</t>
  </si>
  <si>
    <t>使用AI分析公共组件代码，并根据需要生成功能逻辑，代码可用，节约时间</t>
  </si>
  <si>
    <t>abm</t>
  </si>
  <si>
    <t>#20250228001 功能需求：基本数字采集、人员类填报页面增加暂存功能【PRJGX202502019】</t>
  </si>
  <si>
    <t>暂存功能，调用接口即可，无需AI</t>
  </si>
  <si>
    <t>gfa</t>
  </si>
  <si>
    <t>#20250228001 功能更新：决算控制规则设置-新增恢复历史版本数据功能【GFA20250224】</t>
  </si>
  <si>
    <t>http://223.223.178.68:2277/i/66a31d10-f54e-4cf5-9ad6-892140bdc712.jpg</t>
  </si>
  <si>
    <t>赵志伟、郝建宇</t>
  </si>
  <si>
    <t>让AI根据上下文生成了功能代码，并让其给生成的代码生成注释，代码可用</t>
  </si>
  <si>
    <t>20250228002</t>
  </si>
  <si>
    <t>#20250228002 功能优化：加密环境下调用pa/user/get报错，修改获取用户信息接口传参写法【QXWT-CX-2025021800035】</t>
  </si>
  <si>
    <t>调整接口参数写法，无需AI</t>
  </si>
  <si>
    <t>#20250228001 功能需求【一体化】：配合后端(崔中熙)对接口参数进行调整</t>
  </si>
  <si>
    <t>调整接口参数，逻辑简单，无需AI</t>
  </si>
  <si>
    <t>#20250228001 问题修复：资产管理-个人名下资产跳转交回页面后，修改交回部门后数据行丢失问题【QXWT-CX-2025022500099】</t>
  </si>
  <si>
    <t>数据处理问题，无需AI</t>
  </si>
  <si>
    <t>二次评审通过</t>
  </si>
  <si>
    <t>#20250228001 功能需求【江苏食品药品】：绩效填报设置中增加“绩效目标新增指标录入方式”功能，支持平铺和卡片模式，目前仅涉及到部门整体支出目标新，绩效自评、绩效监控、部门整体支出目标页面的表格(index-table)展示【PRJGX202502002】</t>
  </si>
  <si>
    <t>http://223.223.178.68:2277/i/6855fde1-4763-4833-a0ac-e44b4ee779bb.jpg</t>
  </si>
  <si>
    <t>使用AI生成表格合并行和列的操作，指定的功能AI能够给出准确的代码，且节约很多开发的时间</t>
  </si>
  <si>
    <t>#20250228002 功能需求【福建水利电力】：部门人员-编辑弹框中的负责人，更改为下拉框，下拉内容是当前单位本部门和未分配部门的人员【MAD202502009】</t>
  </si>
  <si>
    <t>调整表单为下拉框，无需AI</t>
  </si>
  <si>
    <t>efm</t>
  </si>
  <si>
    <t>#20250228001 功能优化：【账套授权】功能优化-一个用户会有多种角色，查询账套入参roleCodes为角色集合【开发优化】</t>
  </si>
  <si>
    <t>调整参数值，无需AI</t>
  </si>
  <si>
    <t>http://223.223.178.68:2277/i/fc2903cd-2c38-495c-a400-f90280da68d8.jpg</t>
  </si>
  <si>
    <t>#20250228002 问题修复【福建一体化】：自定义报表设计页面设置要素保存后再设置金额，设置金额保存后重新设置金额弹窗下方要素数据丢失问题修复</t>
  </si>
  <si>
    <t>调整数据赋值问题，逻辑简单，无需AI</t>
  </si>
  <si>
    <t>一体化打包</t>
  </si>
  <si>
    <t>#20250228001 功能新增：单位得票批量取票增加全选按钮【ECS202503001】</t>
  </si>
  <si>
    <t>添加全选按钮，可使用最佳代码实践，无需AI</t>
  </si>
  <si>
    <t>#20250301001 功能新增：费用类型增加已开票未付金额，通过单据样式配置控制显示隐藏【KFXQ-CX-2025010600057】</t>
  </si>
  <si>
    <t>石晓璐</t>
  </si>
  <si>
    <t>添加按钮的显隐，无需AI</t>
  </si>
  <si>
    <t>http://223.223.178.68:2277/i/1ef25d00-b6d2-4867-a336-876621577e88.jpg</t>
  </si>
  <si>
    <t>#20250301001 功能更新：总会计报表报表编报页面与同级财政对账节打开明细弹窗编辑【GFR202502073】</t>
  </si>
  <si>
    <t>#20250228001 功能新增：标准规范-调整事项公式定义、乡镇单位区划信息设置、审核公式定义、舍位平衡公式定义、运算公式定义、报告指标管理、报表项目和会计科目对应关系设置、单位会计核算取数公式设置、抵销事项管理、抵销事项类型管理、系统级报表分析设置、财报控制规则设置查询列表增加年度查询条件，列表增加年度列【GFR202502012】</t>
  </si>
  <si>
    <t>增加查询条件和表格列，均为简单修改，且改动较零碎，无需AI</t>
  </si>
  <si>
    <t>20250303001</t>
  </si>
  <si>
    <t>#20250303001 功能优化：附件上传根据 isCustom 属性决定是否显示高拍仪上传按钮【KFXQ-CX-2024122500040】</t>
  </si>
  <si>
    <t>增加v-if判断，逻辑简单， 无需AI</t>
  </si>
  <si>
    <t>#20250301001 代码迁移：单机版-决算-财报内容迁移【CZBDJB202502002】</t>
  </si>
  <si>
    <t>代码迁移，无需AI</t>
  </si>
  <si>
    <t>#20250303001 问题修复：普通报销单差旅费“公务用车”逐个勾选出差人时无法成功勾选的问题【QXWT-CX-2025010600041】</t>
  </si>
  <si>
    <t>添加数据处理，主要是简单的业务逻辑，AI并不能提高效率，无需AI</t>
  </si>
  <si>
    <t>#20250303001 功能优化：修改采购模块配置弹窗关联规则为设置显示关系，新增显示关系弹窗【KFXQ-CX-2025022600056】</t>
  </si>
  <si>
    <t>增加弹框，内容主要是表格展示，逻辑简单，无需AI</t>
  </si>
  <si>
    <t>http://223.223.178.68:2277/i/8b2f5af6-af49-44e8-bc4d-848c03313a8a.jpg</t>
  </si>
  <si>
    <t>#20250303001 功能优化：合同发起付款新增校验合同是否可以发起付款【KFXQ-CX-2025022500053】</t>
  </si>
  <si>
    <t>增加接口校验，逻辑简单，无需AI</t>
  </si>
  <si>
    <t>#20250303001功能优化：预算执行情况表更多里查询新增处理全选【KFXQ-CX-2025030200001】</t>
  </si>
  <si>
    <t>增加全选操作，可使用最佳代码实践实现，无需AI</t>
  </si>
  <si>
    <t>20250303002</t>
  </si>
  <si>
    <t>#20250303002 功能新增：政府部门财务报告-所有单位必须上传工作总结包含（基层单位、汇总单位、部门）【GFR202502003】</t>
  </si>
  <si>
    <t>调整部分字段的校验，无需AI</t>
  </si>
  <si>
    <t>#20250303001 问题修复：【凭证箱】导出选择凭证主信息时类型传参错误【QXWT-CX-2025022800044】</t>
  </si>
  <si>
    <t>调整参数取值，无需AI</t>
  </si>
  <si>
    <t>20250303003</t>
  </si>
  <si>
    <t>#20250303003 功能更新：差旅费报销单选择申请单，增加对同行人信息的处理【KFXQ-CX-2025010700025】</t>
  </si>
  <si>
    <t>#20250303003 功能需求【标准产品】：二级项目细化合并页面新增项目明细查看功能及二级项目绩效指标明细查看功能【PRJBW202502003】</t>
  </si>
  <si>
    <t>添加按钮，调用已有功能即可实现，无需AI</t>
  </si>
  <si>
    <t>20250303004</t>
  </si>
  <si>
    <t>#20250303004 功能更新：差旅费报销单，在输入框的一级页面添加删除出差人的功能【转需求处理：QXWT-CX-2025010300039】</t>
  </si>
  <si>
    <t>添加删除按钮，逻辑简单，无需AI</t>
  </si>
  <si>
    <t>sal</t>
  </si>
  <si>
    <t>#20250303001 功能新增：【工资审核】审核弹窗审核意见默认通过，关闭再次打开也要保持默认值【KFXQ-CX-2025022600020】</t>
  </si>
  <si>
    <t>调整默认值，无需AI</t>
  </si>
  <si>
    <t>http://223.223.178.68:2277/i/6c146470-fc6a-45b9-a2aa-4d9ad2b2b9ca.jpg</t>
  </si>
  <si>
    <t>高若云/梁紫琼</t>
  </si>
  <si>
    <t>2025年3月21日</t>
  </si>
  <si>
    <t>#20250303001 功能更新：支出台账页面，按照单据查询，是否支付成功字段在申请单页签取消显示【转需求处理：QXWT-CX-2025022500110】</t>
  </si>
  <si>
    <t>页签的显示，逻辑简单，无需AI</t>
  </si>
  <si>
    <t>#20250303003 问题修复：1、调整部门财务报告-报表编报页面查看退回详情上下年变动率节点数据查空问题(内蒙-308)</t>
  </si>
  <si>
    <t>20250215001</t>
  </si>
  <si>
    <t>#20250215001 功能更新：单据填报，非智能报销单据，新增选择电子凭证的发票/附件时也显示页数的功能【KFXQ-CX-2025010600033】</t>
  </si>
  <si>
    <t>添加数据处理，无需AI</t>
  </si>
  <si>
    <t>#20250303001 功能新增：厦门一体化-档案库做历史迁移【EFM202503014】</t>
  </si>
  <si>
    <t>乐章</t>
  </si>
  <si>
    <t>#20250303001 功能更新：专项查询功能开发【GFA20240921】</t>
  </si>
  <si>
    <t>http://223.223.178.68:2277/i/4c28f32b-862f-4e24-9ee4-5757e971b44a.jpg</t>
  </si>
  <si>
    <t>对AI进行问题提问，并让AI理解代码后生成功能代码并进行优化，代码可用</t>
  </si>
  <si>
    <t>http://223.223.178.68:2277/i/9a963c02-9842-4880-8f5d-60331430d4e3.jpg</t>
  </si>
  <si>
    <t>霍宇辰</t>
  </si>
  <si>
    <t>2025年3月29日</t>
  </si>
  <si>
    <t>此需求为跨月任务，只登记本月工作量</t>
  </si>
  <si>
    <t>#20250303004 功能优化：项目审核，左侧树未挂载，新增重试机制，延迟重试设置选中项【自动化脚本】</t>
  </si>
  <si>
    <t>http://223.223.178.68:2277/i/ab3d6edd-94f4-4b07-9d48-b51bf8e73e57.jpg</t>
  </si>
  <si>
    <t>使用AI处理想要的逻辑，AI给出了可用的回复，节约大量时间</t>
  </si>
  <si>
    <t>#20250303004 功能完善：调整综合、行政区确认年初数页面本年年初数列字段调整【GFR202502046】</t>
  </si>
  <si>
    <t>调整列的字段，无需AI</t>
  </si>
  <si>
    <t>bas</t>
  </si>
  <si>
    <t>#20250303001 功能需求：系统初始化-接收上下级数据-点击确认导入按钮后展示校验key值弹窗【CZBDJB202501022】</t>
  </si>
  <si>
    <t>已有功能代码，主要调整显示逻辑，无需AI</t>
  </si>
  <si>
    <t>#20250303001 功能新增：鉴定中心需求（需预制脚本）-借阅办理-放开借阅密码的必填校验。【EFM202503015】</t>
  </si>
  <si>
    <t>添加校验，逻辑简单，无需AI</t>
  </si>
  <si>
    <t>http://223.223.178.68:2277/view/a3fbeca0-109f-4d10-b234-4f7948b27348</t>
  </si>
  <si>
    <t>粱紫琼，高若云</t>
  </si>
  <si>
    <t>pm</t>
  </si>
  <si>
    <t># 20250303001 缺陷处理：项目库绩效目标内容不显示【工作处理进度跟踪表【单机版】 200】</t>
  </si>
  <si>
    <t>夏铭</t>
  </si>
  <si>
    <t>调整显示的内容，逻辑简单，无需AI</t>
  </si>
  <si>
    <t>#20250304001 问题修复：【工资发放表】查询表格数据接口新增方案编码入参【QXWT-CX-2025030100001】</t>
  </si>
  <si>
    <t>添加接口入参，无需AI</t>
  </si>
  <si>
    <t>#20250304001 功能更新：批量修改项目名称可调整表字段调整【GFA20250303】</t>
  </si>
  <si>
    <t>此需求为初版，项目已迁移，但未合并到开发分支，后续提交对应20250328001</t>
  </si>
  <si>
    <t>#20250304001 功能更新【福建一体化】：release-v4.0.1分支增加福建一体化环境相关变量</t>
  </si>
  <si>
    <t>添加环境变量，无需AI</t>
  </si>
  <si>
    <t>#20250304001 功能新增：业务审批新增保存常用意见的功能，可以在审批框里进行常用审批意见保存，保存后清空意见并刷新常用意见列表【KFXQ-CX-2025022700097】</t>
  </si>
  <si>
    <t>洪岩</t>
  </si>
  <si>
    <t>http://223.223.178.68:2277/i/e3d7da05-51b7-4f68-aa1c-a2d38afa9d05.jpg</t>
  </si>
  <si>
    <t>通过编写需求注释，让AI生成了代码，代码可用</t>
  </si>
  <si>
    <t>http://223.223.178.68:2277/i/0e3a6c33-2f8b-4a35-a69c-63bb960568c7.jpg</t>
  </si>
  <si>
    <t>廖俊闻</t>
  </si>
  <si>
    <t>后端合包</t>
  </si>
  <si>
    <t>#20250304001 功能更新：1、调整土储、综合、行政区报表编报页面在建工程土地收储项目及面积表样面积单位调整【GFR202503027】</t>
  </si>
  <si>
    <t>20250304002</t>
  </si>
  <si>
    <t>#20250304002 功能更新：部门财务报告-设置报告封面提取功能接口添加入参【GFR202503029】</t>
  </si>
  <si>
    <t>#20250304001 功能新增：新增富文本编辑框tinymce-edit组件【KFXQ-CX-2025012000091】</t>
  </si>
  <si>
    <t>第三方组件的调整，无需AI</t>
  </si>
  <si>
    <t>#20250304003 问题修复：调整金额输入框禁用只读状态下可以改输入框数据问题（财报3.0-358）</t>
  </si>
  <si>
    <t>#20250304002 问题修复：【收入发布】新增展示列汇款账号【QXWT-CX-2025022600019】</t>
  </si>
  <si>
    <t>#20250304001 功能需求【海北州财务服务平台】：多栏账页面侧边栏数据显示配置中增加“末期本年累计行展开栏目金额是否含结转凭证”配置功能【GAL202503021】</t>
  </si>
  <si>
    <t>添加配置列，无需AI</t>
  </si>
  <si>
    <t>固定分支打包</t>
  </si>
  <si>
    <t>#20250304001 问题修复：ecs电子凭证预览接口增加加密【QXWT-CX-2025021900004】</t>
  </si>
  <si>
    <t>调整接口加密，逻辑简单，无需AI</t>
  </si>
  <si>
    <t>pa</t>
  </si>
  <si>
    <t>#20250304001 功能新增【自然资源部】：首页新增&lt;司局待办审核&gt;块，用来展示部委项目司局待审核笔数【PRJBW202412004】</t>
  </si>
  <si>
    <t>添加首页块，PA模块处理块的配置，逻辑简单，无需AI</t>
  </si>
  <si>
    <t>增加首页组件，包含home，pa两个模块</t>
  </si>
  <si>
    <t>20250304004</t>
  </si>
  <si>
    <t>#20250304004 问题修复：全国-编制全国财务报告-点击进入编制全国报表的时候报错【财政部bug356】</t>
  </si>
  <si>
    <t>逻辑简单，无需AI</t>
  </si>
  <si>
    <t>20250305001</t>
  </si>
  <si>
    <t>#20250305001 功能优化：优化密级选择逻辑 优化附件列表高拍仪调用【KFXQ-CX-2025010700078】</t>
  </si>
  <si>
    <t>密级需求改动，改动较零碎</t>
  </si>
  <si>
    <t>#20250304001 功能需求【黑龙江职业学院】：预算调整审核页面增加固定列调整次数【PRJGX202503004】</t>
  </si>
  <si>
    <t>调整表格固定列，无需AI</t>
  </si>
  <si>
    <t>20250305002</t>
  </si>
  <si>
    <t>#20250305002 功能需求【黑龙江职业学院】：预算调整，预算调整信息界面增加‘暂存’资源按钮权限【PRJGX202503002】</t>
  </si>
  <si>
    <t>http://223.223.178.68:2277/i/b6251c8a-b35f-4bf0-9de3-d6613faf3c81.jpg</t>
  </si>
  <si>
    <t>使用AI根据已有资源权限按钮命名格式，生成新的按钮资源权限名称，节约时间</t>
  </si>
  <si>
    <t>#20250305001 功能新增：在三合一版本做的票据挂接收入凭证，用h5链接展示。需要将个性化代码迁入到花都2.0环境【EFM202503015】</t>
  </si>
  <si>
    <t>添加h5展示链接，无需AI</t>
  </si>
  <si>
    <t>#20250305001 问题修复：修复综合审核-按类别模板审核时，人数列点击升降序不生效【24年全国各省决算问题列表-福建序号211】</t>
  </si>
  <si>
    <t>杨玲玲</t>
  </si>
  <si>
    <t>http://223.223.178.68:2277/i/eb44ac51-0f7d-475a-991b-b496ff9b1b3d.jpg</t>
  </si>
  <si>
    <t>#20250304002 问题修复：ecs电子凭证预览接口增加加密【QXWT-CX-2025021900004】</t>
  </si>
  <si>
    <t>#20250305002 功能新增：总账-同步齿轮日期查询需要同步期间参数【EFM202503019】</t>
  </si>
  <si>
    <t>调整查询条件的赋值，逻辑简单，无需AI</t>
  </si>
  <si>
    <t>#20250305001 功能优化：预算执行情况表更多里新增单位全选</t>
  </si>
  <si>
    <t>增加全选按钮，无需AI</t>
  </si>
  <si>
    <t>http://223.223.178.68:2277/i/ef19b198-a066-44ea-9f49-3ee5595a556f.jpg</t>
  </si>
  <si>
    <t>#20250305001 问题修复：调整部门、综合、行政区、全国报表编报页面，政府部门财务分析页面，右侧柱状图展示数据不准确问题(财报3.0-352)</t>
  </si>
  <si>
    <t>http://223.223.178.68:2277/i/e462177e-81be-4a3d-89fa-56677926bb00.jpg</t>
  </si>
  <si>
    <t>根据现有代码和实例提供给AI 让AI根据其生成实例并采用</t>
  </si>
  <si>
    <t>20250305003</t>
  </si>
  <si>
    <t>#20250305003 功能需求【北京社会管理】：项目信息块中是否包含财政资金与项目测算信息中的其中财政资金编辑关联【QXWT-CX-2025022700069】</t>
  </si>
  <si>
    <t>调整简单的业务逻辑，无需AI</t>
  </si>
  <si>
    <t>bgt</t>
  </si>
  <si>
    <t>#20250305001 问题修复：部门预算管理-控制数分解-分配控制数的需求数和控制数的单位需要一致【QXWT-CX-2025022600096】</t>
  </si>
  <si>
    <t>调整数据的单位，逻辑简单，无需AI</t>
  </si>
  <si>
    <t>#20250305001 功能优化：采购计划执行查询新增采购状态【KFXQ-CX-2025022600059】</t>
  </si>
  <si>
    <t>增加列，无需AI</t>
  </si>
  <si>
    <t>pas</t>
  </si>
  <si>
    <t>#20250305001 功能优化：预算执行队列关于重新发送规则的优化【PAS202503004】</t>
  </si>
  <si>
    <t>http://223.223.178.68:2277/i/1bba90bd-ea28-4d35-891a-7090830458c7.jpg</t>
  </si>
  <si>
    <t>使用AI优化代码，AI将代码逻辑调整的更加简洁清晰，提升代码质量</t>
  </si>
  <si>
    <t>#20250305002 功能需求【中国地震局运维项目】：凭证箱页面右侧条件中增加创建时间和修改时间查询功能【GAL202503022】</t>
  </si>
  <si>
    <t>http://223.223.178.68:2277/i/f151ed2b-e77e-45dd-9623-da1909c7a79c.jpg</t>
  </si>
  <si>
    <t>使用AI处理el-date-picker的数据格式，AI能够给出准确答案</t>
  </si>
  <si>
    <t>pcx</t>
  </si>
  <si>
    <t>#20250305001 功能优化：财务助手悬浮球根据显示内容优化样式，单据变更优化【PCX202411176】</t>
  </si>
  <si>
    <t>http://223.223.178.68:2277/i/87d24ed6-b50d-4c65-97d1-bc932450b343.jpg</t>
  </si>
  <si>
    <t>home</t>
  </si>
  <si>
    <t>#20250305001 功能需求【首都机场公安局】：首页待办窗格组件单据详情字体蓝色，整体居中左对齐，金额列展示单位元【KFXQ-CX-2025022800003】</t>
  </si>
  <si>
    <t>调整样式，表格列的展示，无需AI</t>
  </si>
  <si>
    <t>20250306001</t>
  </si>
  <si>
    <t>#20250306001 功能新增：新增标签后清空表格勾选项【ECS202502023】</t>
  </si>
  <si>
    <t>添加清空数据的逻辑，调用已有方法即可</t>
  </si>
  <si>
    <t>#20250306001 功能更新：总会计多账套取数接口添加入参【GFR202406022】</t>
  </si>
  <si>
    <t>#20250306001 问题修复：修复医疗费核定页面big.js因传入非数字而报错的问题【QXWT-CX-2025030400071】</t>
  </si>
  <si>
    <t>#20250306001 功能更新：根据单位编报网段。编报网段在外网的单位如果在内网进行报表编报，点击保存时系统提示【GFA20250310 】</t>
  </si>
  <si>
    <t>http://223.223.178.68:2277/i/cc8fe868-77ed-433f-bea6-5c2b3aaadf39.jpg</t>
  </si>
  <si>
    <t>#20250306001 功能优化：基础信息管理-人员信息变更-新增单位人员信息-添加性别必填校验、公务卡提示信息优化【CZBDJB202503001】</t>
  </si>
  <si>
    <t>增加必填校验，逻辑简单，无需AI</t>
  </si>
  <si>
    <t>20250306003</t>
  </si>
  <si>
    <t>#20250306003 功能新增：结算方式新增汇款转账获取账号按钮，根据户名获取账号和开户银行，去掉校验回填户名和账号【KFXQ-CX-2025022800029】</t>
  </si>
  <si>
    <t>调整业务逻辑，无需AI</t>
  </si>
  <si>
    <t>http://223.223.178.68:2277/i/b3a2398d-aeb6-4fb7-9fa9-5f40fad4265e.jpg</t>
  </si>
  <si>
    <t>20250306002</t>
  </si>
  <si>
    <t>#20250306002 功能新增：普通差旅报销-按照步骤填单的第一步的出差人是否可编辑新增控制，取单据样式-主单据的出差人的是否可编辑来控制是否可编辑【KFXQ-CX-2025022400045】</t>
  </si>
  <si>
    <t>http://223.223.178.68:2277/i/6099270d-775f-4919-8854-5ddb231a2711.jpg</t>
  </si>
  <si>
    <t>#20250306002 功能更新：集中审理界面，增加设置切换年度按钮，当选择的年度不为系统当前编报年度时则禁用预算司监管局审核记录表操作按钮【GFA20250312】</t>
  </si>
  <si>
    <t>http://223.223.178.68:2277/i/8dd02b75-d313-4870-b8ae-4dafb3d37670.jpg</t>
  </si>
  <si>
    <t>#20250306002 问题修复【深圳国际量子研究院】：项目库模块，项目申请的时候提示目预算申请总金额超出了数值允许范围【QXWT-CX-2025030600008】</t>
  </si>
  <si>
    <t>http://223.223.178.68:2277/i/2bfe5aab-ba98-4df6-9210-226eaa018ebc.jpg</t>
  </si>
  <si>
    <t>计算出现精度问题，使用AI排查出现问题的原因，节约开发时间</t>
  </si>
  <si>
    <t>#20250306001 功能新增：在【归档配置】增加"会计账簿组卷归档方式"配置，基于会计账簿归档方式选择“文件归档”对"会计账簿组卷归档方式"进行配置，配置选项为“自定义数量组卷”和“按科目组卷”两种；【EFM202503004】</t>
  </si>
  <si>
    <t>调整配置项的选项数据</t>
  </si>
  <si>
    <t>#20250306002 功能新增：账簿档案-检查项隐藏掉，然后后面的“查看数据”改成“检测报告”【EFM202503006】</t>
  </si>
  <si>
    <t>#20250306003 功能新增：增加【公式查看】菜单，参考审核公式查看功能，用于查看（仅可查看）运算公式。隐藏框选的列。公式内容列不可编辑【GFA20250313】</t>
  </si>
  <si>
    <t>20250306004</t>
  </si>
  <si>
    <t>#20250306004 功能更新：部门决算编审-综合审核-模板审核-控制规则【国库用户是否可修改单位核实性公式说明】为是时，情况说明允许修改【GFA20250324】</t>
  </si>
  <si>
    <t>http://223.223.178.68:2277/i/89cf8db8-f29f-497b-9192-c20e8bd33cbf.jpg</t>
  </si>
  <si>
    <t>1、代码优化；2、生成注释</t>
  </si>
  <si>
    <t>http://223.223.178.68:2277/i/4feb12ef-54f6-4c78-9146-02c51a109ba0.jpg</t>
  </si>
  <si>
    <t>#20250306001 功能新增：1、差旅费报销-&gt;费用明细展示逻辑调整，按行程内和行程外费用展示相关费用。2、优化稽核结果展示，单据相关页面组件。【PCX202411177】</t>
  </si>
  <si>
    <t>http://223.223.178.68:2277/i/9b88e550-9b90-4775-b145-6061b5807256.jpg</t>
  </si>
  <si>
    <t>使用AI处理代码结构，抽出组件，然后优化部分代码，AI均能准确处理，提升了代码质量</t>
  </si>
  <si>
    <t>#20250306001 功能新增：内蒙一体化增加修改财务人功能【YTH202412006】</t>
  </si>
  <si>
    <t>添加修改的字段，逻辑简单，无需AI</t>
  </si>
  <si>
    <t>#20250306003 问题修复【422项目】：二级项目调整详情页面调整报错接口agyCode取值修复【QXWT-CX-2025030600017】</t>
  </si>
  <si>
    <t>调整接口取值，无需AI</t>
  </si>
  <si>
    <t>#20250306002 功能新增：1.部门财务报告-一级主管部门增加手工编制抵销分录节点（从综合迁移）2.财报控制规则-增加一级主管部门是否开启手工编制抵销分录规则3.部门财务报告-汇总工作地表-表格排序错误【GFR202503021】</t>
  </si>
  <si>
    <t>增加规则， 无需AI</t>
  </si>
  <si>
    <t>#20250306004 问题修复：智能报销结算方式导入赋值错误，导致结算方式无法删除修改【QXWT-CX-2025030600089】</t>
  </si>
  <si>
    <t>调整赋值逻辑，无需AI</t>
  </si>
  <si>
    <t>#20250306001 问题修复：预算项与项目总投资规则处理增加数据类型校验【QXWT-CX-2025030600012】</t>
  </si>
  <si>
    <t>http://223.223.178.68:2277/i/832e47c6-8108-4890-ac91-4d1f0a9a9d72.jpg</t>
  </si>
  <si>
    <t>使用AI排查代码报错原因，AI给出可能出现问题的地方，节约开发时间</t>
  </si>
  <si>
    <t>20250306005</t>
  </si>
  <si>
    <t>#20250306005 功能新增：支出台账页面借款和还款的名称受资源权限名称控制【KFXQ-CX-2025012200006】</t>
  </si>
  <si>
    <t>添加资源权限控制，无需AI</t>
  </si>
  <si>
    <t>20250307001</t>
  </si>
  <si>
    <t>#20250307001 功能优化：指标管理权限设置新增部门和单级联选择【KFXQ-CX-2025030500048】</t>
  </si>
  <si>
    <t>查询条件树形输入框的属性调整，逻辑简单，无需AI</t>
  </si>
  <si>
    <t>#20250307001 功能新增：当主单据的类型的长度只有1且没有配置默认值的时候，也需要重新获取一下标准信息【KFXQ-CX-2025030600028】</t>
  </si>
  <si>
    <t>#20250307001 功能更新：部门决算报表同步审核信息按钮显示逻辑调整，单位同步时增加禁用控制，每次同步时间间隔4小时以上【GFA20250314】</t>
  </si>
  <si>
    <t>20250307003</t>
  </si>
  <si>
    <t>#20250307003 问题修复：出国费（overseas）申请单，单据样式配置，费用明细块，配置为不可编辑不生效【QXWT-CX-2025030500026】</t>
  </si>
  <si>
    <t>参考已有代码调整，无需AI</t>
  </si>
  <si>
    <t>#20250307001 功能需求：住建部项目-资产管理-资产配置计划下达-点击单据进入单据详情后添加下达单价列并实时计算下达金额【KFXQ-CX-2025022800055】</t>
  </si>
  <si>
    <t>添加列，逻辑简单，无需AI</t>
  </si>
  <si>
    <t>20250307004</t>
  </si>
  <si>
    <t>#20250307004 功能优化：优化第二岗数组数据回显时为null做优化处理【KFXQ-CX-2025030500006】</t>
  </si>
  <si>
    <t>数据增加判空处理，无需AI</t>
  </si>
  <si>
    <t>20250307005</t>
  </si>
  <si>
    <t>#20250307005 功能优化：优化出国费申请单赋值引导页带值逻辑【QXWT-CX-2025030400028】</t>
  </si>
  <si>
    <t>http://223.223.178.68:2277/i/cf69c042-c366-4817-afb5-308d4d040191.jpg</t>
  </si>
  <si>
    <t>询问AI遇到的问题，AI给出了解决方案，能够很好的解决问题</t>
  </si>
  <si>
    <t>#20250307001 功能完善：调整sm4加密方式根据环境变量配置动态调用不同版本</t>
  </si>
  <si>
    <t>#20250307001 功能需求【西安电子】：对西电增加行业化处理，在项目申报页面中，选择全部流程节点时，隐藏撤回功能【PRJGX202503008】</t>
  </si>
  <si>
    <t>http://223.223.178.68:2277/i/bbb6a2cf-376e-4739-9558-523159e895bd.jpg</t>
  </si>
  <si>
    <t>使用AI优化代码，并优化提示信息，AI能给出准确答案，节约时间，且代码更加简洁规范</t>
  </si>
  <si>
    <t xml:space="preserve">已合并
西电是固定分支打包</t>
  </si>
  <si>
    <t>20250307002</t>
  </si>
  <si>
    <t>#20250307002 功能完善：调整部门、综合、行政区确认年初数页面备注列不受控制规则确认年初数设置控制【GFR202503028】</t>
  </si>
  <si>
    <t>#20250307002 功能更新：上级编辑下级上报数据选项拆分成两条：上级编辑下级上报数据（报表）、上级编辑下级上报数据（封面）【GFA20250342】</t>
  </si>
  <si>
    <t>#20250307003 功能更新：1、决算控制规则-新增【处室用户是否可修改模板说明】控制规则；2、启用此规则时，业务处、资产-综合审核-模板审核-情况说明允许修改【GFA20250344】</t>
  </si>
  <si>
    <t>紧急需求</t>
  </si>
  <si>
    <t>#20250307004 功能更新：部门决算编审-综合审核-模板审核-情况说明修改唯一标识字段调整【GFA20250324】</t>
  </si>
  <si>
    <t>20250308001</t>
  </si>
  <si>
    <t>#20250308001 功能需求【西北政法】：执行项目信息查询，新增一个预拨项目负责人查询，进行项目授权【PRJGX202503015】</t>
  </si>
  <si>
    <t>http://223.223.178.68:2277/i/eb10db4e-6b86-46cf-a0c7-7c6b51cc4540.jpg</t>
  </si>
  <si>
    <t>使用AI基于已有代码添加查询条件，节约时间</t>
  </si>
  <si>
    <t>#20250308001 功能更新：差旅费报销单，按步骤填单，第一步基础信息，出差类型，出差事由、同行人字段根据单据样式配置判断是否可编辑【KFXQ-CX-2025030700091、KFXQ-CX-2025022700092】</t>
  </si>
  <si>
    <t>调整是否可编辑逻辑，无需AI</t>
  </si>
  <si>
    <t>#20250308002 功能需求【西北政法】：项目授权，授权金额需要和批复金额进行校验（授权金额不能大于批复金额）【PRJGX202503021】</t>
  </si>
  <si>
    <t>增加金额校验，逻辑简单，无需AI</t>
  </si>
  <si>
    <t>#20250308001 功能更新：公安厅的首页待办模式，增加配置跳过提示信息的功能【KFXQ-CX-2025030800001】</t>
  </si>
  <si>
    <t>#20250310001 功能优化：采购模块对于树形下拉数据并且设置为数组和参数类型为字符串时将数组换成字符串【KFXQ-CX-2025030700014】</t>
  </si>
  <si>
    <t>调整数据格式转换的条件，无需AI</t>
  </si>
  <si>
    <t>#20250310001 功能优化：控制规则设置右侧费用报销表的附件清单新增提示信息【KFXQ-CX-2025022800029】</t>
  </si>
  <si>
    <t>添加提示信息，无需AI</t>
  </si>
  <si>
    <t>#20250310001 功能完善：出纳变更获取页面模块固定成出纳审核岗【PCX202411182】</t>
  </si>
  <si>
    <t>调整接口参数，无需AI</t>
  </si>
  <si>
    <t>#20250310001 功能更新：报表单位设置界面字段修改：“分配审核”修改为“是否属于指定审核”；“自选审核”修改为“是否属于自选审核”。【GFA20250320】</t>
  </si>
  <si>
    <t>#20250310001 功能优化：外部数据导入-总预算取数/单位核算页签取数弹窗，单位树增加全选反选按钮</t>
  </si>
  <si>
    <t>添加全选按钮，逻辑简单，无需AI</t>
  </si>
  <si>
    <t>#20250310001 功能需求【标准产品】：新增三级项目审批流程定义、样式配置、项目申报、细化填报、二上细化填报、项目审核、细化审核、二上细化审核、项目查询、控制数下达、综合查询页面【PRJBW202502001】【PRJBW202502002】</t>
  </si>
  <si>
    <t>增加页面，可基于已有页面代码实现，无需AI</t>
  </si>
  <si>
    <t>http://223.223.178.68:2277/i/a3c67189-035d-4ab6-856d-3f78773acf11.jpg</t>
  </si>
  <si>
    <t>#20250310001 功能新增：账簿档案-把【会计凭证归档】、【会计账簿归档】、【财务会计报告归档】、【其他会计资料归档】中的“四性检测”功能按钮和操作列中的“四性检测”功能按钮做成资源权限，根据角色可进行配置【EFM202503009】</t>
  </si>
  <si>
    <t>增加按钮资源权限，无需AI</t>
  </si>
  <si>
    <t>#20250310002 功能新增：单位、部门、部门司审核、国库司审核、本级综合、行政区-自审及综合审核下重点数据名称审核页签添加提示语，查询条件拆开附表6，分为两张表（长期投资及投资收益明细表、长期股权投资明细表）【GFR202503023】</t>
  </si>
  <si>
    <t>添加提示语，无需AI</t>
  </si>
  <si>
    <t>#20250310001 功能优化：指标管理和预算执行情况表更多改为筛选过滤【BUD202503003】</t>
  </si>
  <si>
    <t>#20250310002 功能优化：指标新增录入金额设置成必填【KFXQ-CX-2025031000024】</t>
  </si>
  <si>
    <t>增加表单必填规则，无需AI</t>
  </si>
  <si>
    <t>20250310003</t>
  </si>
  <si>
    <t>#20250310003 功能新增：新增一体化处室管理页面【GFR202503002】</t>
  </si>
  <si>
    <t>http://223.223.178.68:2277/i/0d4bac2e-28fb-443f-9c67-689b2c28f880.jpg</t>
  </si>
  <si>
    <t>提供需求描述让AI生成代码，完善细节后代码可用</t>
  </si>
  <si>
    <t>#20250310003 功能优化：指标管理右侧调剂和修改互换位置【BUD202503004】</t>
  </si>
  <si>
    <t>调整按钮展示的顺序，无需AI</t>
  </si>
  <si>
    <t>20250310004</t>
  </si>
  <si>
    <t>#20250310004 功能优化：指标管理和预算执行情况表设置系统级表头修改入参【BUD202503005】</t>
  </si>
  <si>
    <t>增加接口参数，无需AI</t>
  </si>
  <si>
    <t>#20250310002 功能新增：培训费增加费用明细调剂功能【KFXQ-CX-2025012000041】</t>
  </si>
  <si>
    <t>已有功能，调整判断条件即可，无需AI</t>
  </si>
  <si>
    <t>#20250310002 功能需求【422项目】：项目细化页面全部项目页签下表格上方增加单位过滤树选择，配置按钮资源权限，影响列表请求接口getOwnHisList【PRJBW202503004】</t>
  </si>
  <si>
    <t>增加查询条件数据，无需AI</t>
  </si>
  <si>
    <t>20250310005</t>
  </si>
  <si>
    <t>#20250310005 功能更新：部门财务报告-汇总单位与资产报告对账、与部门决算对账节点初始化添加删除记录逻辑【GFR202503014】</t>
  </si>
  <si>
    <t>#20250310004 功能完善：调整总会计报表与部门单位明细录入弹窗本年数只读及去年单位色值控制【GFR202503033】</t>
  </si>
  <si>
    <t>#20250310002 问题修复：修复采购呈批提交单据后第二岗采购分包块看不到数据【QXWT-CX-2025031000021】</t>
  </si>
  <si>
    <t>数据赋值问题，逻辑简单，无需AI</t>
  </si>
  <si>
    <t>20250311001</t>
  </si>
  <si>
    <t>#20250311001 功能需求【自然资源部】：项目信息块新增&lt;需细化测算&gt;字段并根据大类赋值：新增人员类、公用经费类（9901、990201）时默认否，其他大类默认“是”；根据其控制项目测算信息块行细化测算按钮显隐【PRJBW202503006】</t>
  </si>
  <si>
    <t>调整选项的默认值，逻辑简单，无需AI</t>
  </si>
  <si>
    <t>#20250311001 功能优化：合同登记页面错误提醒信息改为问题列表内结果提醒【KFXQ-CX-2025022700074】</t>
  </si>
  <si>
    <t>调整提示信息的展示模式，无需AI</t>
  </si>
  <si>
    <t>http://223.223.178.68:2277/i/88713dfa-510e-40b2-bf2e-bdd5df24f1c1.jpg</t>
  </si>
  <si>
    <t>#20250311001 问题修复：调整总会计下载带数据模板接口参数(上海39)</t>
  </si>
  <si>
    <t>20250311002</t>
  </si>
  <si>
    <t>#20250311002 功能完善：1、行政区报表编报页面-导出接口添加参数【GFR202502020】</t>
  </si>
  <si>
    <t>#20250221002 功能新增：电子凭证新增红冲票类型【ECS202408005】</t>
  </si>
  <si>
    <t>添加票据类型，逻辑简单，无需AI</t>
  </si>
  <si>
    <t>20250311003</t>
  </si>
  <si>
    <t>#20250311003 功能新增：部门财务报告-编制报表-退回详情-将时间轴对应的文本框修改为列表，三列：退回说明、退回人、退回时间，并可以导出【GFR202503019】</t>
  </si>
  <si>
    <t>调整列的展示，并增加导出功能，无需AI</t>
  </si>
  <si>
    <t>#20250311002 功能优化：将预审结果提醒改成直接对预审结果内的内容进行提醒展示【KFXQ-CX-2025022700073】</t>
  </si>
  <si>
    <t>调整提示信息的显示模式，无需AI</t>
  </si>
  <si>
    <t>#20250311003 功能优化：单据查看页面数据为空的时候显示’暂无数据‘改为直接展示空【KFXQ-CX-2025031100020】</t>
  </si>
  <si>
    <t>#20250311001 功能优化：附件上传组件改为模块内引入，修改密级弹窗写法</t>
  </si>
  <si>
    <t>调整组件引入模式，无需AI</t>
  </si>
  <si>
    <t>http://223.223.178.68:2277/i/b95e22f3-bfc5-427f-a0ef-599194e92649.jpg</t>
  </si>
  <si>
    <t>#20250311001 功能优化：审批弹窗将默认值带入【KFXQ-CX-2025030600081】</t>
  </si>
  <si>
    <t>增加对默认值的处理，无需AI</t>
  </si>
  <si>
    <t>#20250311002 功能优化：审批弹窗将默认值带入【KFXQ-CX-2025030600081】</t>
  </si>
  <si>
    <t>20250311004</t>
  </si>
  <si>
    <t>#20250311004 功能新增：组织机构管理-新增标识：系统是否开放，默认是，当标识为空按是做后续逻辑控制，从平台跳转至财报系统后，根据用户带的单位信息，查询系统开放状态，为否则提示。【GFR202503039】</t>
  </si>
  <si>
    <t>根据条件处理后续逻辑，无需AI</t>
  </si>
  <si>
    <t>#20250311002 功能优化：指标管理表格选中增加背景色【KFXQ-CX-2025031100062】</t>
  </si>
  <si>
    <t>添加表格背景色，逻辑简单，无需AI</t>
  </si>
  <si>
    <t>20250311005</t>
  </si>
  <si>
    <t>#20250311005 功能新增：部门财务报告-自审/编制报表-账表一致性检查-如果不一致的情况不允许填写说明，必须让单位回到财务系统修改财务账【GFR202503004】</t>
  </si>
  <si>
    <t>增加判断条件，逻辑简单，无需AI</t>
  </si>
  <si>
    <t>#20250311004 功能新增：智能报销-按照步骤填单选择冲销借款，支持首次将金额带出，目前遇到的问题先不处理【KFXQ-CX-2025022700093】</t>
  </si>
  <si>
    <t>增加赋值逻辑，无需AI</t>
  </si>
  <si>
    <t>#20250311001 功能更新：中央企业财政拨款收支报表-编报界面增加导入按钮【GFA20250331】</t>
  </si>
  <si>
    <t>20250311006</t>
  </si>
  <si>
    <t>#20250311006  功能新增：部门财务报告-编制报表-设计对账的附表添加提示语【GFR202503030】</t>
  </si>
  <si>
    <t>添加提示信息，无需Ai</t>
  </si>
  <si>
    <t>#20250311001 功能优化：财务助手拖拽优化【PCX202411176】</t>
  </si>
  <si>
    <t>调整部分代码调用逻辑，逻辑简单，无需AI</t>
  </si>
  <si>
    <t>20250312001</t>
  </si>
  <si>
    <t>#20250312001 功能优化：采购商品块新增禁止编辑逻辑</t>
  </si>
  <si>
    <t>增加禁止逻辑，无需AI</t>
  </si>
  <si>
    <t>2025年3月25日</t>
  </si>
  <si>
    <t>#20250312001 功能需求【政府会计财务管理】：期初余额录入-从上年结转-新旧年度数据关系弹框中增加“只看差异”过滤表格数据功能【GAL202503002】</t>
  </si>
  <si>
    <t>http://223.223.178.68:2277/i/e322d443-1c46-456a-92f5-528183923c40.jpg</t>
  </si>
  <si>
    <t>使用Ai生成常量名称，生成的结果更准确</t>
  </si>
  <si>
    <t>#20250312001 问题修复：修复采购指引弹窗下一步后没有关闭父弹窗【QXWT-CX-2025031100086】</t>
  </si>
  <si>
    <t>添加关闭弹窗逻辑，无需AI</t>
  </si>
  <si>
    <t>#20250312001 问题修复：解决从单位管理员权限进入角色管理页面切换系统级单位级时选中第一个角色时未查询已授权功能列表【QXWT-CX-2025030600052】</t>
  </si>
  <si>
    <t>主要调整数据的赋值，无需AI</t>
  </si>
  <si>
    <t>#20250312001 功能需求【福州市公安局】：增加一个默认登录方式，登录页初始化时，取一下默认登录方式【KFXQ-CX-2025030300002】</t>
  </si>
  <si>
    <t>http://223.223.178.68:2277/i/a2c16ef4-c342-472c-8107-2e3a6c61af31.jpg</t>
  </si>
  <si>
    <t>根据已有的常量生成所需的常量，减少开发自己的编码工作</t>
  </si>
  <si>
    <t>福州市公安登录特殊处理orange-sign包</t>
  </si>
  <si>
    <t>#20250312001 功能完善：调整部门财务报告-设置报告封面统一社会信用代码校验【GFR202503043】</t>
  </si>
  <si>
    <t>20250312002</t>
  </si>
  <si>
    <t>#20250312002 功能新增：智能报销差旅费，新增通过选择自动生成结算方式、全部删除功能。新增控制规则控制结算方式生成方式【KFXQ-CX-2025022000071】</t>
  </si>
  <si>
    <t>http://223.223.178.68:2277/i/d45ae1eb-8f21-48ce-956c-5c29ab0a5095.jpg</t>
  </si>
  <si>
    <t>使用AI优化代码，AI给出的结果更符合规范</t>
  </si>
  <si>
    <t>#20250312001 功能更新：审核公式查看-出错说明修改为提示说明【GFA20250316】</t>
  </si>
  <si>
    <t>#20250312001 功能优化：指标管理底部合计金额显示数据取表头配置信息【KFXQ-CX-2025031100059】</t>
  </si>
  <si>
    <t>添加获取数据的逻辑，无需AI</t>
  </si>
  <si>
    <t>#20250312002 功能完善：综合、行政区汇总工作表添加报表小类【GFR202503044】</t>
  </si>
  <si>
    <t>#20250312001 功能需求：增加移动端退出功能受app-info.json文件的isHideSignOut字端控制，默认不隐藏【KFXQ-CX-2025031200004】</t>
  </si>
  <si>
    <t>增加功能判断条件，逻辑简单，无需AI</t>
  </si>
  <si>
    <t>#20250312001 功能新增：档案盒管理-增加一列盒内凭证区间，可以看到该盒内的凭证类型和凭证区间，针对获取档案柜信息进行提示。【EFM202503025】</t>
  </si>
  <si>
    <t>20250312003</t>
  </si>
  <si>
    <t>#20250312003 功能更新：业务办理下的“需要借款”按钮和申请单发起借款功能，增加按照管理规则分别配置的逻辑【KFXQ-CX-2025022400056】</t>
  </si>
  <si>
    <t>调整按钮显示条件，无需AI</t>
  </si>
  <si>
    <t>20250312004</t>
  </si>
  <si>
    <t>#20250312004 功能更新：合同支付单合同支付明细块操作列增加显示判断，如果表格数据中无可操作的数据，则不显示操作列【KFXQ-CX-2025030500076】</t>
  </si>
  <si>
    <t>增加显示条件的判断，无需AI</t>
  </si>
  <si>
    <t>#20250312003 问题修复：审核与上报会计报表-1.合计行需要填写说明才能通过;2.单位的表完整性检查会展示统计表1、2【财政部Bug361】</t>
  </si>
  <si>
    <t>增加判空处理，无需AI</t>
  </si>
  <si>
    <t>#20250228001 代码迁移：单机版财报迁移czb最新内容（截止0305）</t>
  </si>
  <si>
    <t>#20250312004 功能新增：广东项目综合、业务处、行政区管理下级、综合审核页面新增报告审核节点【GFR202503016】</t>
  </si>
  <si>
    <t>http://223.223.178.68:2277/i/f44036be-2dae-4bd3-985b-c505d164513f.jpg</t>
  </si>
  <si>
    <t>根据需求描述让AI生成代码，并根据代码调试，代码可用</t>
  </si>
  <si>
    <t>20250213005</t>
  </si>
  <si>
    <t>#20250213005 代码迁移：迁移集中审理、预算司、全国汇总报表分析，同步部门决算报表分析最新功能</t>
  </si>
  <si>
    <t>#20250312003 功能完善：多栏账 末期本月合计行的展开列金额计算逻辑调整【KFXQ-CX-2025030700015】</t>
  </si>
  <si>
    <t>http://223.223.178.68:2277/i/83574947-7af9-4c13-8183-e0e62edf667b.jpg</t>
  </si>
  <si>
    <t>使用A I优化样式，AI能够很好地处理样式的固定属性，节约开发时间</t>
  </si>
  <si>
    <t>20250312005</t>
  </si>
  <si>
    <t>#20250312005 功能新增：新增经费来源-财政块功能，支持选择财政指标【KFXQ-CX-2025030300020】</t>
  </si>
  <si>
    <t>http://223.223.178.68:2277/i/d5193134-0bc2-48e6-9424-6b7d658e2caa.jpg</t>
  </si>
  <si>
    <t>#20250312005 功能优化：部门/总会计/综合-确认年初数-表样调整</t>
  </si>
  <si>
    <t>调整表样，不需要AI</t>
  </si>
  <si>
    <t>#20250312001 功能需求【黑龙江职业】：预算调整设置页面增加  调整审批退回方式，预算调整审核，按实际业务要按历史节点退回【PRJGX202503003】</t>
  </si>
  <si>
    <t>http://223.223.178.68:2277/i/81467307-b7cd-4648-9470-f33cf2785c14.jpg</t>
  </si>
  <si>
    <t>基于已有代码生成新的代码，生成的代码准确度较高</t>
  </si>
  <si>
    <t xml:space="preserve">http://223.223.178.68:2277/i/a3c67189-035d-4ab6-856d-3f78773acf11.jpg </t>
  </si>
  <si>
    <t>#20250312002 功能需求【黑龙江职业】：预算调整-项目调整内容中，可以显示调整后信息字段，需要统一显示字段内容（可以代码+内容的形式）【PRJGX202503005】</t>
  </si>
  <si>
    <t>http://223.223.178.68:2277/i/e04b99da-fba1-4b50-b448-fcdb676145f3.jpg</t>
  </si>
  <si>
    <t>根据需求使用AI生成代码逻辑，节约开发时间</t>
  </si>
  <si>
    <t>20250313001</t>
  </si>
  <si>
    <t>#20250313001 功能优化：采购变更单据获取schema新增入参userCode和taskId【KFXQ-CX-2025031100078】</t>
  </si>
  <si>
    <t>#20250313001 功能优化：优化指标审批弹窗样式【KFXQ-CX-2025031200061】</t>
  </si>
  <si>
    <t>调整审核弹窗样式，无需AI</t>
  </si>
  <si>
    <t>#20250313001 功能优化：财报进向导前选单位，如果只有一个年度可选，且只有一个单位的情况下，才自动带入</t>
  </si>
  <si>
    <t>调整赋值逻辑，改动简单，无需AI</t>
  </si>
  <si>
    <t>20250313002</t>
  </si>
  <si>
    <t>#20250313002 功能新增：预览审批的附件查看根据是否启用了电子凭证，启用的时候跳转到电子凭证的上传弹框（历史数据不处理）【KFXQ-CX-2025031100049】</t>
  </si>
  <si>
    <t>调整判断条件，逻辑简单，无需AI</t>
  </si>
  <si>
    <t>#20250313001 功能需求【首都机场公安】：项目审核弹窗添加常用语录入功能，使用popover展示常用意见，优化展示效果【KFXQ-CX-2025022100051】</t>
  </si>
  <si>
    <t>http://223.223.178.68:2277/i/99d20acf-5460-484e-b405-ff2fb112bc0b.jpg</t>
  </si>
  <si>
    <t>添加第三方组件的展示，无需AI</t>
  </si>
  <si>
    <t>#20250313001 功能更新：部门决算编审、会审-综合审核-筛选审核范围-报表小类过滤条件支持多选【GFA20250345】</t>
  </si>
  <si>
    <t>#20250313002 功能更新：启用【是否展示其下级报错】控制规则时，部门决算编审、会审-综合审核-公式审核、模板审核、上下年审核、对账单审核-显示当前部门及其所有下级的报错功能开发【GFA20250317】</t>
  </si>
  <si>
    <t>http://223.223.178.68:2277/i/f99e3071-f490-4934-b0e1-a5bf8a3ecd44.jpg</t>
  </si>
  <si>
    <t>对现有代码使用AI进行了优化</t>
  </si>
  <si>
    <t>2025年3月28日</t>
  </si>
  <si>
    <t>#20250313001 功能新增：增加移动端上传电子发票，提示信息展示。【KFXQ-CX-2025030600039】</t>
  </si>
  <si>
    <t>添加提示信息，逻辑简单，无需AI</t>
  </si>
  <si>
    <t>#20250313002 功能需求【北京社会管理】：政府采购预算（对标财政）模块，“资金性质”样式展示不正确，正确应该是包含“财政资金”，“其它资金”等【PRJGX202503027】</t>
  </si>
  <si>
    <t>http://223.223.178.68:2277/i/d0810be4-77a0-4fcd-89f5-875415d2404f.jpg</t>
  </si>
  <si>
    <t>使用AI排查代码错误，能够很快地定位到问题所在，节约时间</t>
  </si>
  <si>
    <t>20250313003</t>
  </si>
  <si>
    <t>#20250313003 功能更新：会议费报销单，费用明细人数校验兼容本地和外地代表人数字段的计算【转需求：QXWT-CX-2025030700028】</t>
  </si>
  <si>
    <t>调整人数计算逻辑，无需AI</t>
  </si>
  <si>
    <t>20250314001</t>
  </si>
  <si>
    <t>#20250314001 功能优化：指标分解新增级联选择【KFXQ-CX-2025031300074】</t>
  </si>
  <si>
    <t>已有功能，添加属性即可，无需AI</t>
  </si>
  <si>
    <t>#20250314001 功能优化：附件上传组件改为模块内引入，修改密级弹窗写法</t>
  </si>
  <si>
    <t>密级功能统一调整，无需AI</t>
  </si>
  <si>
    <t>#20250314001 功能需求【江南大学】：绩效监控表单增加finishedGoal、expectedGoal字段存储，样式调整为通行展示【PRJGX202503010】</t>
  </si>
  <si>
    <t>20250314002</t>
  </si>
  <si>
    <t>#20250314002 功能优化：预算控制规则控制百分比调成200%</t>
  </si>
  <si>
    <t>调整数值，无需Ai</t>
  </si>
  <si>
    <t>#20250314002 功能优化：替换 el-upload 为 v-element-upload上传组件，期望是在上传文件提示密级提醒【QXWT-CX-2025021000071】</t>
  </si>
  <si>
    <t>调整组件为系统内自定义的组件，无需AI</t>
  </si>
  <si>
    <t>#20250314001 功能新增：智能报销差旅费行程新增同一行程合并、同一行程分解分解的功能【KFXQ-CX-2025021200073】</t>
  </si>
  <si>
    <t>主要是业务逻辑的调整，无需AI</t>
  </si>
  <si>
    <t>#20250314001 功能更新：调整部门决算编审-编报进度查询，删除尚未开始编报列，调整部门司完成审核列顺序，调整列宽（仅财政部调整）；在部门决算编审-编报进度查询中在业务处已确认后增加业务处未完成审核（合计：）列（仅福建调整）【GFA20250306、GFA20250307】</t>
  </si>
  <si>
    <t>http://223.223.178.68:2277/i/439c9fd6-968b-4699-8a5c-4f44bc1357fe.jpg</t>
  </si>
  <si>
    <t>让AI理解现有代码，并在此基础上让其根据需求生成新功能代码，代码可用</t>
  </si>
  <si>
    <t>#20250314001 问题修复：部门财务报告-上传操作手册后，部门用户看不到上传的资料【广东bug列表51】</t>
  </si>
  <si>
    <t>调整赋值逻辑，无需Ai</t>
  </si>
  <si>
    <t>#20250314002 功能更新：业务处（科）室审核-部门司审核记录表-调整为只支持全表运算【GFA20250346】</t>
  </si>
  <si>
    <t>http://223.223.178.68:2277/i/93e0c2df-53cf-40f4-b3c1-163a28c5838c.jpg</t>
  </si>
  <si>
    <t>提供现有代码让其根据描述生成代码，代码可用</t>
  </si>
  <si>
    <t>#20250314002 功能新增：财报控制规则-增加切换编报年度功能，年度切换之后，提示用户：编报年度发生变换，系统会将打开的功能页签全部关闭。让用户进行确认，如果确认，强制将所有打开的功能页签关闭。【GFR202503024】</t>
  </si>
  <si>
    <t>调整页签操作逻辑，无需AI</t>
  </si>
  <si>
    <t>20250314003</t>
  </si>
  <si>
    <t>#20250314003 功能更新：1、国库用户—部门决算编审-综合审核-按单位、查看单位报表—未开启必审节点控制时，左侧单位树显示前置节点审核状态功能开发（仅福建项目）；2、查看单位报表-左侧单位树前置节点审核状态展示调整为所有节点【GFA20250301】</t>
  </si>
  <si>
    <t>逻辑简单未使用AI</t>
  </si>
  <si>
    <t>#20250314003 功能新增：新增差旅费的是否全程保障默认不勾选的功能，受控制规则控制【KFXQ-CX-2025031100090】</t>
  </si>
  <si>
    <t>调整默认值赋值，无需AI</t>
  </si>
  <si>
    <t>#20250314003 功能新增：部门，综合，行政区，业务处，国库司，部门司-审核（自审，综合审核）-上下年变动率-角标不包括合计行，内容展示合计行，但是合计行置灰，不能使用通过不通过的按钮，也不展示审核状态【GFR202503052】</t>
  </si>
  <si>
    <t>调整按钮显示的条件，无需AI</t>
  </si>
  <si>
    <t>#20250314002 缺陷处理：切换账套进行凭证制单时，会计科目调用的还是上一个账套科目的信息【QXWT-CX-2025031000032】</t>
  </si>
  <si>
    <t>20250314004</t>
  </si>
  <si>
    <t>#20250314004 功能更新：部门决算编审、会审-综合审核-按类别-上下年一致性审核-增加报表小类查询条件【GFA20250343】</t>
  </si>
  <si>
    <t>http://223.223.178.68:2277/i/379ae175-9557-4c0c-baa1-3042e5e0bd8f.jpg</t>
  </si>
  <si>
    <t>#20250314004 功能调整：总会计-编报页面-附表26 发布事项后，对应单位数据高亮条件改为中央项目且部门与财政对账采用汇总方式对账</t>
  </si>
  <si>
    <t>调整页面的高亮条件，无需AI</t>
  </si>
  <si>
    <t>20250314005</t>
  </si>
  <si>
    <t>#20250314005 功能优化：部门财务报告-设置报告封面-内网节点或外网节点点击更新后，会将是否内网编制跟内网网段字段进行变更【财政部Bug387】</t>
  </si>
  <si>
    <t>20250315001</t>
  </si>
  <si>
    <t>#20250315001 功能调整：部门财务报告-封面设置-当报送主体类型为基层预算单位或一级主管部门+单户表时，封面中执行会计制度可选项，将14、20这这两个会计制度过滤掉；【GFR202503038】</t>
  </si>
  <si>
    <t>2025年3月15日</t>
  </si>
  <si>
    <t>调整数据的处理逻辑，无需AI</t>
  </si>
  <si>
    <t>20250315002</t>
  </si>
  <si>
    <t>#20250315002 功能调整：部门财务报告-封面保存时，增加校验，当执行会计制度选择1时，编制行政事业单位资产报告需选择是。执行会计制度选择其他时，编制行政事业单位资产报告选择选项不做校验；【GFR202503007】</t>
  </si>
  <si>
    <t>调整数据的校验，无需AI</t>
  </si>
  <si>
    <t>20250317001</t>
  </si>
  <si>
    <t>#20250317001 问题修复【标准产品】：附件上传密级写法整体调整，处理密级配置为提示时，部分页面作为组件会直接提示问题【QXWT-CX-2025021000071】</t>
  </si>
  <si>
    <t>密级统一调整，无需AI</t>
  </si>
  <si>
    <t>已合并</t>
  </si>
  <si>
    <t>20250317002</t>
  </si>
  <si>
    <t>#20250317002 问题修复【标准产品】：优化自定义表格块中获取表格数据的方法，增加判空条件，避免块隐藏后获取不到该块造成报错【QXWT-CX-2025031100064】</t>
  </si>
  <si>
    <t>添加判空，无需AI</t>
  </si>
  <si>
    <t>#20250317001 功能新增：总会计报表--编制总预算会计报表-附表26中部门预算安排项目报送主体明细金额弹窗，中央项目时，将下载导入模板改为导出，增加下载导入模板下载空的模板【GFR202503047】</t>
  </si>
  <si>
    <t>调整显示的文案，增加下载功能，调用接口即可，逻辑简单，无需AI</t>
  </si>
  <si>
    <t>20250317003</t>
  </si>
  <si>
    <t>#20250317003 功能优化：更新 handleCalculateTotal 方法的调用，使用正确的表格数据参数， 添加正确的引用 【PRJGX202408027】</t>
  </si>
  <si>
    <t>调整方法调用，逻辑简单，无需AI</t>
  </si>
  <si>
    <t>#20250317001 功能新增：审核流程增加撤回状态，审核提交字段修改【PCX202411188】</t>
  </si>
  <si>
    <t>调整使用的字段，无需AI</t>
  </si>
  <si>
    <t>#20250317001 功能需求【首都机场公安】：首页待办列表块业务页签按照指定格式排序&lt;待办&gt;&lt;草稿箱&gt;&lt;合同提醒&gt;【KFXQ-CX-2025030700047】</t>
  </si>
  <si>
    <t>http://223.223.178.68:2277/i/90a18536-8d98-449d-ba41-3a3584b5e5a4.jpg</t>
  </si>
  <si>
    <t>调整展示的顺序，无需AI</t>
  </si>
  <si>
    <t>gip</t>
  </si>
  <si>
    <t>#20250317001 功能需求【标准产品】：业务类型(单位)页面切换数据源时如果不展示“从模板载入”增加不展示功能的原因【QXWT-CX-2025030700005】</t>
  </si>
  <si>
    <t>调整页面显示的逻辑，无需AI</t>
  </si>
  <si>
    <t>#20250317002 功能完善：调整部门财务报告设置报告封面内外网标识赋值调整不默认外网(财政部(387))</t>
  </si>
  <si>
    <t>#20250317003 功能更新：组织结构页面中央项目新增编报网段标识【GFR202503053】</t>
  </si>
  <si>
    <t>20250317004</t>
  </si>
  <si>
    <t>#20250317004 功能需求【黑龙江职业】：预算调整 预算调整信息界面增加配置权限，显示内容自定义显示【PRJGX202503006】</t>
  </si>
  <si>
    <t>http://223.223.178.68:2277/i/de6b05a7-51ff-4b66-b330-539ed9aa9cea.jpg</t>
  </si>
  <si>
    <t>使用Ai调整表格列的显示逻辑，AI能够根据给定的业务逻辑调整代码，节约开发时间</t>
  </si>
  <si>
    <t>#20250317004 功能更新：兼容财政部不使用长期股权投资最新表样问题【GFR202502046】</t>
  </si>
  <si>
    <t>20250317005</t>
  </si>
  <si>
    <t>#20250317005 问题修复：综合财务报告-确认年初数-附表4-1长期投资及投资收益明细表小计列没有计算【24年内蒙Bug365】</t>
  </si>
  <si>
    <t>增加计算逻辑，逻辑简单， 无需AI</t>
  </si>
  <si>
    <t>#20250317001 功能优化：全景图会计记账新增凭证号信息【KFXQ-CX-2025031400041】</t>
  </si>
  <si>
    <t>添加字段信息，无需AI</t>
  </si>
  <si>
    <t>#20250317001 功能更新：查询单位树形（综合审核、查询下级报表、查询下级对账单、查询下级分析报告、查询下级批复报表、报表单位设置、对账单管理）排序调整</t>
  </si>
  <si>
    <t>20250317006</t>
  </si>
  <si>
    <t>#20250317006 功能新增：部门财务报告-编制单位会计报表及附注表-左侧报表及各附表的说明增加导出功能【GFR202503011】</t>
  </si>
  <si>
    <t>添加导出功能，调用接口即可，无需AI</t>
  </si>
  <si>
    <t>#20250317001 问题修复：修复交付货物清单选数据后name没改变的问题【QXWT-CX-2025031400036】</t>
  </si>
  <si>
    <t>20250317007</t>
  </si>
  <si>
    <t>#20250317007 功能完善：部门财务报告特殊情况下的抵销处理抵销确认接口添加忽略数据【GFR202503020】</t>
  </si>
  <si>
    <t>#20250317003 功能更新：智能报销业务审批增加投递柜相关控制规则，增加投递状态的查询【KFXQ-CX-2025021300004】</t>
  </si>
  <si>
    <t>增加控制规则，无需AI</t>
  </si>
  <si>
    <t>#20250317002 功能更新：部门决算报表-综合审核-查询模板审核-查询类模板支持部门用户批量录入情况说明【GFA20250333】</t>
  </si>
  <si>
    <t>20250317008</t>
  </si>
  <si>
    <t>#20250317008 功能新增：部门财务报告-编制报表-左侧单位树说明弹窗中说明列改为文本域【GFR202503017】</t>
  </si>
  <si>
    <t>调整列的展示形式，无需AI</t>
  </si>
  <si>
    <t>20250318001</t>
  </si>
  <si>
    <t>#20250318001 功能优化【自然资源部】：指标挑选弹窗顶部查询条件搜索输入框样式调整</t>
  </si>
  <si>
    <t>调整查询条件样式，无需AI</t>
  </si>
  <si>
    <t>#20250318001 功能新增：财报控制规则新增修复年初调整表长期投资数据功能【GFR202502046】</t>
  </si>
  <si>
    <t>20250318002</t>
  </si>
  <si>
    <t>#20250318002 功能优化：单据审批页新增底部预览审批功能【KFXQ-CX-2025031700062】</t>
  </si>
  <si>
    <t>添加功能按钮，调用已有接口，无需AI</t>
  </si>
  <si>
    <t>#20250318002 功能新增：部门财务报告-与部门决算对账节点新增导出功能【GFR202503035】</t>
  </si>
  <si>
    <t>#20250318002 问题修复【湖北一体化】：政府会计报表&lt;财政拨款预算收入支出表&gt;表样要素保存时提示空问题修复</t>
  </si>
  <si>
    <t>#20250318001 功能更新：审批流程切换-流程切换增加业务类型入参</t>
  </si>
  <si>
    <t>20250318003</t>
  </si>
  <si>
    <t>#20250318003 功能新增：总分类账增加辅助分账【GAL202503037】</t>
  </si>
  <si>
    <t>添加显示的类别，无需AI</t>
  </si>
  <si>
    <t>#20250318001 问题修复【标准产品】：支出标准维护页面查询标准接口getExpCri和selectExpCri根据busiType新增参数adjSel【QXWT-CX-2025031700063】</t>
  </si>
  <si>
    <t>#20250318002 功能优化【标准产品】：支出标准查看，调整调剂申请等页面有关行选中功能相关方法selectRow等引用prj本模块【KFXQ-CX-2025031800072】</t>
  </si>
  <si>
    <t>调整引用路径，无需AI</t>
  </si>
  <si>
    <t>20250318007</t>
  </si>
  <si>
    <t>#20250318007 功能优化：业务控制规则打印规则新增打印纸质凭证粘贴单【KFXQ-CX-2025031200001】</t>
  </si>
  <si>
    <t>添加管理规则， 无需AI</t>
  </si>
  <si>
    <t>#20250318001 问题修复：修复监管局审核记录表删除所有行数据后，已调整和报部门司金额没有变成0【24年全国各省决算问题列表-序号218】</t>
  </si>
  <si>
    <t>http://223.223.178.68:2277/i/b7173239-1588-4f7e-b8d1-c3b7b98de47c.jpg</t>
  </si>
  <si>
    <t>根据提供要求描述和选中行代码让AI根据要求去生成代码，代码可用</t>
  </si>
  <si>
    <t>#20250318003功能完善：调整部门财务报告审核与上报页面运行审核复核功能添加报表金额跟发布事项金额不一致弹窗GFR202503032】</t>
  </si>
  <si>
    <t>http://223.223.178.68:2277/i/41121c3f-fc4e-4910-84e6-0408be5de143.jpg</t>
  </si>
  <si>
    <t>根据描述需求内容让AI生成代码，代码可用</t>
  </si>
  <si>
    <t>20250318004</t>
  </si>
  <si>
    <t>#20250318004 功能完善：行政区综合财务报告-确认年初数提取下级汇总调整数功能接口添加参数【GFR202503042】</t>
  </si>
  <si>
    <t>20250318005</t>
  </si>
  <si>
    <t>#20250318005 问题修复：部门财务报告-报表编报页面根据控制规则设置导入导出按钮名称(3.0-363)</t>
  </si>
  <si>
    <t>#20250318003 功能更新：草案报告（国库）菜单调整路由权限</t>
  </si>
  <si>
    <t>#20250319001 功能需求【首都机场公安局】：项目审核、项目调整审核查看流程中的流程状态信息居中【KFXQ-CX-2025022800058】</t>
  </si>
  <si>
    <t>居中显示内容，无需AI</t>
  </si>
  <si>
    <t>#20250319002 问题修复：项目库发起专家评审之后，在项目申报专家评审看不到项目【QXWT-CX-2025012100020】</t>
  </si>
  <si>
    <t>主要是数据显示的问题，逻辑简单，无需AI</t>
  </si>
  <si>
    <t xml:space="preserve"> #20250319001 功能新增：我的附件上传增加托文件上传功能。【KFXQ-CX-2025011700025】</t>
  </si>
  <si>
    <t>增加上传功能，无需AI</t>
  </si>
  <si>
    <t>#20250319002 问题修复：修复高拍仪拍照点击确认后无反应问题，修复在附件上传用高拍仪拍照后凭证类型未赋值初始值“其他”问题【QXWT-CX-2025031400070】</t>
  </si>
  <si>
    <t>调整定义的值，无需AI</t>
  </si>
  <si>
    <t>#20250319001 功能优化：单据确认变更支付明细，经费来源去掉选框【PCX202411189】</t>
  </si>
  <si>
    <t>20250319003</t>
  </si>
  <si>
    <t>#20250319003 问题修复：项目预拨功能，点击右上角设置编辑项目，点击保存设置报错【QXWT-CX-2025030700018】</t>
  </si>
  <si>
    <t>数据处理，逻辑简单，无需AI</t>
  </si>
  <si>
    <t>http://223.223.178.68:2277/i/6431a337-9359-445f-b5e5-be55991e3578.jpg</t>
  </si>
  <si>
    <t>#20250319001 问题修复：高拍仪上传后报错(从ECS迁移)【QXWT-CX-2025031400070】</t>
  </si>
  <si>
    <t>http://223.223.178.68:2277/i/bcb63655-5d69-4d6f-aadc-d58bbaa9df72.jpg</t>
  </si>
  <si>
    <t>#20250319002 功能新增：文件箱里，开票日期需要是按时间顺序排列(从一体化迁移)【ECS202503009】</t>
  </si>
  <si>
    <t>#20250319001  功能新增：文件箱里，开票日期需要是按时间顺序排列(从一体化迁移)【ECS202503009】</t>
  </si>
  <si>
    <t>#20250319002  问题修复：高拍仪上传后报错(从ECS迁移)【QXWT-CX-2025031400070】</t>
  </si>
  <si>
    <t>#20250319001 功能需求：项目大类定义新增‘预算下达生成指标’开关，建议开关后加感叹号注释“此功能仅控制高校版预算下达管理处是否能操作终审项目”【KFXQ-CX-2025030400038】</t>
  </si>
  <si>
    <t>添加开关按钮，无需A I</t>
  </si>
  <si>
    <t>http://223.223.178.68:2277/i/ef6e28b4-012a-49b2-a26c-b819eba4d4d1.jpg</t>
  </si>
  <si>
    <t>刘洁，肖文辉</t>
  </si>
  <si>
    <t>#20250319001 问题修复【标准产品】：绩效指标审核页面操作列宽度调整，防止展示折叠【QXWT-CX-2025031800079】</t>
  </si>
  <si>
    <t>调整列宽，无需AI</t>
  </si>
  <si>
    <t>#20250319001 功能完善：部门财务报告-审核与上报会计报表一级主管部门单户表上报功能添加上报时间控制【GFR202503018】</t>
  </si>
  <si>
    <t>http://223.223.178.68:2277/i/d919ddb0-81f1-4c82-badb-aa54919874d9.jpg</t>
  </si>
  <si>
    <t>#20250319001 功能需求【宁夏医科大学】：单据凭证关系挂载页面中点击自动挂接，增加“凭证单据编号匹配单据用途”配置功能【GIP202503003】</t>
  </si>
  <si>
    <t>http://223.223.178.68:2277/i/9fd9e654-98d8-484d-8ef9-77261fcc9157.jpg</t>
  </si>
  <si>
    <t>使用AI处理输入框相关属性，能够很快得出可用改动，节约时间</t>
  </si>
  <si>
    <t>#20250319002 功能需求：项目大类定义中新增‘预算下达生成指标’开关，该开关默认为开启状态【KFXQ-CX-2025022600060】</t>
  </si>
  <si>
    <t>增加开关按钮，无需AI</t>
  </si>
  <si>
    <t>http://223.223.178.68:2277/i/ef6e28b4-012a-49b2-a26c-b819eba4d4d1.jpg、</t>
  </si>
  <si>
    <t>#20250319002 问题修复【标准产品】：绩效指标库页面拉取财政指标功能/eva/indexOwn/indexPull接口增加自定义异常，防止无指标时拉取导致弹窗无法关闭【QXWT-CX-2025031800051】</t>
  </si>
  <si>
    <t>添加异常处理，逻辑简单，无需AI</t>
  </si>
  <si>
    <t>#20250319002 功能更新：调整公式设置中公式相关属性描述接口（运算公式需要支持按照区划配置，针对福建的要求个性化配置）【GFA20250302】</t>
  </si>
  <si>
    <t>dxp</t>
  </si>
  <si>
    <t>#20250319001 功能优化：报销单据更多里部门改成树形数据选择【KFXQ-CX-2025031700052】</t>
  </si>
  <si>
    <t>调整树型选择框，无需AI</t>
  </si>
  <si>
    <t>#20250319003 缺陷处理：部门人员中的人员已经停用，但在编制凭证时，还能选到【QXWT-CX-2025031100040】</t>
  </si>
  <si>
    <t>调整禁用逻辑，无需AI</t>
  </si>
  <si>
    <t>20250211001</t>
  </si>
  <si>
    <t>#20250211001 功能优化：经费办结页面改成动态表头列，新增侧边表头列配置【KFXQ-CX-2024112200067】</t>
  </si>
  <si>
    <t>添加判断条件，无需AI</t>
  </si>
  <si>
    <t>20250319005</t>
  </si>
  <si>
    <t>#20250319005 功能优化：智能差旅单据，如果修改了前面步骤的数据，重新计算费用明细金额【QXWT-CX-2025022700028】</t>
  </si>
  <si>
    <t>添加金额计算逻辑，基于已有代码，无需AI</t>
  </si>
  <si>
    <t>20250319004</t>
  </si>
  <si>
    <t>#20250319004 功能需求【内蒙古民政厅】：备选项目填报附件清单，规则生效时，“必须提供”字样可显示在清单名称前面【KFXQ-CX-2025031600001】</t>
  </si>
  <si>
    <t>20250319007</t>
  </si>
  <si>
    <t>#20250319007 功能优化：优化劳务费费用明细和项目费用明细requestTask的调用方式【自动化测试优化】</t>
  </si>
  <si>
    <t>增加数promise逻辑，无需AI</t>
  </si>
  <si>
    <t>#20250319002 功能更新：1、修改提示信息文件，增加隐藏弹窗的配置字段以及说明文字；【KFXQ-CX-2025030800001】2、调整requestTask类，支持promise功能【自动化测试】</t>
  </si>
  <si>
    <t>修改提示信息的显示条件，无需AI</t>
  </si>
  <si>
    <t>#20250319002 功能完善：记账规则设置接口传参修改【无纸化支出测试问题记录1016】</t>
  </si>
  <si>
    <t>#20250319005 功能优化【标准产品】：支出标准维护页面导入功能增加自定义异常处理【PRJBW202503001】</t>
  </si>
  <si>
    <t>20250319006</t>
  </si>
  <si>
    <t>#20250319006 功能优化【标准产品】：二上细化填报、审核、新填报页面初始化请求二上节点配置并作出提示【PRJBW202503002】</t>
  </si>
  <si>
    <t>20250320001</t>
  </si>
  <si>
    <t>#20250320001 问题修复：重点事项维护项目物资模板下载功能增加区划参数【QXWT-CX-2025031900084】</t>
  </si>
  <si>
    <t>添加参数，无需AI</t>
  </si>
  <si>
    <t>#20250320001 问题修复：修复采购分包块当修改指标信息后指标选项数据选不到的问题【QXWT-CX-2025031900089】</t>
  </si>
  <si>
    <t>处理选择数据的逻辑，无需AI</t>
  </si>
  <si>
    <t>#20250320002 问题修复：部门财务报告-确认年初数-部门汇总下级调整数，点击备注列下级调整说明原因未显示【财报3.0Bug385】</t>
  </si>
  <si>
    <t>调整字段处理，无需AI</t>
  </si>
  <si>
    <t>功能新增:  在我的票的表格上方添加对于删除操作的文字提示 【KFXQ-CX-2025030400022】</t>
  </si>
  <si>
    <t>简单需求,无需AI</t>
  </si>
  <si>
    <t>20250320003</t>
  </si>
  <si>
    <t>#20250320003 问题修复：综合财务报告-编报页面-查看下级退回详情-与财政总决算对账上级审核状态显示审核通过（undefined）【财报3.0Bug392】</t>
  </si>
  <si>
    <t>调整显示的状态，无需AI</t>
  </si>
  <si>
    <t>#20250320002 问题修复：执行项目信息查询，科研项目预算项金额不能填写负数【QXWT-CX-2025031800092】</t>
  </si>
  <si>
    <t>调整属性，无需AI</t>
  </si>
  <si>
    <t>#20250320001 功能优化：指标管理查询接口新增参数，资源权限控制【KFXQ-CX-2025031800002】</t>
  </si>
  <si>
    <t>#20250320003 功能优化：选择计划会议和培训卡片样式优化，改为和列表一样的动态列【KFXQ-CX-2025031200007】</t>
  </si>
  <si>
    <t>云票平台</t>
  </si>
  <si>
    <t>#20250320001  功能新增：重新调整增加票友儿本地导入电子发票功能【KFXQ-CX-2025031300070】</t>
  </si>
  <si>
    <t>添加导入功能，无需AI</t>
  </si>
  <si>
    <t>功能新增: 企业微信小应用添加消息跳转功能</t>
  </si>
  <si>
    <t>老代码迁移,无需AI</t>
  </si>
  <si>
    <t>#20250320002 功能更新：部门决算任务、部门决算批复、部门决算公开、部门决算草案增加【按模板打印】功能【GFA20250329】</t>
  </si>
  <si>
    <t>#20250320001 功能需求：事项申请，新增差旅费、会议费、培训费、公务接待费、因公出国（境）费的处理逻辑【KFXQ-CX-2025031900021】</t>
  </si>
  <si>
    <t>http://223.223.178.68:2277/i/6f3cd7a1-8419-461c-a3e8-6ca3086c42a2.jpg</t>
  </si>
  <si>
    <t>使用AI优化代码，节约时间</t>
  </si>
  <si>
    <t>20250320006</t>
  </si>
  <si>
    <t>#20250320006 功能新增：我的附件上传增加托文件上传功能,票本地上传功能先选文件再出弹框，和我的附件保持一致。【KFXQ-CX-2025011700025】</t>
  </si>
  <si>
    <t>调整代码调用的逻辑，无需AI</t>
  </si>
  <si>
    <t>20250320005</t>
  </si>
  <si>
    <t>功能新增:企业微信单点登录并兼容两种登录方式</t>
  </si>
  <si>
    <t>#20250320001 功能新增：我的附件上传增加托文件上传功能,票本地上传功能先选文件再出弹框，和我的附件保持一致。【KFXQ-CX-2025011700025】</t>
  </si>
  <si>
    <t>#20250320003 功能优化【标准产品】：查询列表配置相关两个接口增加接口自定义异常处理【PRJBW202503003】</t>
  </si>
  <si>
    <t>调整接口，无需AI</t>
  </si>
  <si>
    <t>功能新增: 判断是否是PCX环境,请求不同的省份接口</t>
  </si>
  <si>
    <t>20250321001</t>
  </si>
  <si>
    <t>功能新增: 电子凭证 单位的票 批量取票时“取票类型”没选的话 默认是全部类型。【ECS202503001】</t>
  </si>
  <si>
    <t>#20250321001 问题修复【公安部道路交通】：要素定义页面中新增要素时对要素名称增加去空格操作【QXWT-CX-2025031800096】</t>
  </si>
  <si>
    <t>增加字符串去空格操作，无需AI</t>
  </si>
  <si>
    <t>20250321002</t>
  </si>
  <si>
    <t>#20250321002 问题修复【标准产品】：项目填报详情页项目信息块一级项目code字段展示下拉选仅控制在储备项目调整功能下【QXWT-CX-2025032000098】</t>
  </si>
  <si>
    <t>调整下拉数据的字段，无需AI</t>
  </si>
  <si>
    <t>#20250321002 功能更新：对账单管理（财政）左侧单位树添加顶级节点</t>
  </si>
  <si>
    <t>20250321003</t>
  </si>
  <si>
    <t>#20250321003 问题修复；行政区地方综合财务报告-管理下级财务报告-综合审核-批量审核数据提示：{ "code": "400", "msg": "当前业务年度为 2023，为了执行此操作，请确保业务年度正确。", "data": null }【财报3.0Bug376】</t>
  </si>
  <si>
    <t>调整提示信息内容，无需AI</t>
  </si>
  <si>
    <t>#20250321003 功能优化：userRecentlyExpenseCard和travelGenerateSettlement新增入参【KFXQ-CX-2025031100033】</t>
  </si>
  <si>
    <t>#20250321003 功能需求【标准产品】：项目及控制数管理页面-按单位部门查询，选择单位时下拉框中应该只能选到当前用户被授权的单位，接口替换【KFXQ-CX-2025022000030】</t>
  </si>
  <si>
    <t>#20250321003 功能更新：调整监管局审核记录表界面汇总逻辑【GFA20250305】</t>
  </si>
  <si>
    <t>20250321004</t>
  </si>
  <si>
    <t>#20250321004 功能完善：调整部门、综合、业务处综合审核对账事项审核节点根据对账数据类型展示不同字段信息，调整对账分类过滤方法【GFR202503056-2】</t>
  </si>
  <si>
    <t>http://223.223.178.68:2277/i/5c781fd3-373f-4501-893e-444958304432.jpg</t>
  </si>
  <si>
    <t>通过描述需求，让AI生成代码，并让其修改代码中得问题，最后检查优化</t>
  </si>
  <si>
    <t>20250321006</t>
  </si>
  <si>
    <t>#20250321006 问题修复：调整部门财务报告与其他单位对账页面，留言板功能接口传参问题(厦门-42)</t>
  </si>
  <si>
    <t>20250323001</t>
  </si>
  <si>
    <t>#20250323001 功能需求【西北政法】：项目填报配置中在二上业务流程节点中增加“二上前一节点”配置功能</t>
  </si>
  <si>
    <t>2025年3月23日</t>
  </si>
  <si>
    <t>2025年3月26日</t>
  </si>
  <si>
    <t>添加配置功能，无需AI</t>
  </si>
  <si>
    <t>20250324001</t>
  </si>
  <si>
    <t>功能新增：电子凭证上传确认弹框中，【铁路电子客票】的【业务类型】，新增可选项【改签】，后端返回的值为【改】时，前端需要显示业务类型为【改签】，若用户手动选择【改签】并保存，后端需要将其存储为【改】 【ECS202412026】</t>
  </si>
  <si>
    <t>结构简单,无需AI</t>
  </si>
  <si>
    <t>#20250324001 功能优化：指标管理查询所有凭证新增balanceId,预算执行情况表查询所有凭证新增balanceId</t>
  </si>
  <si>
    <t>调整参数，无需AI</t>
  </si>
  <si>
    <t>#20250324001功能完善：部门财务报告-报表编报页面根据报表编报方式控制是否可查看编辑取数公式【GFR202503060】</t>
  </si>
  <si>
    <t>#20250324001 功能修复：借阅审核，通过待办点击进入审核界面， 借阅申请部门变更为了审核人对应的部门【QXWT-CX-2025031900065】</t>
  </si>
  <si>
    <t>#20250324001 功能更新：增加批量打印功能，涉及界面（部门决算报表-【查看下级单位报表】、部门决算编审-【查看下级单位报表】、业务处审核-【查看下级单位报表】、部门决算批复、业务处批复、部门决算批复（财政汇总）、部门决算公开-【公开报表查看】、业务处公开-【公开报表查看】、部门决算公开（财政汇总）-【部门决算公开】【GFA20240922】</t>
  </si>
  <si>
    <t>#20250324001 功能优化：费用类型配置页新增是否自动结项【KFXQ-CX-2025031900050】</t>
  </si>
  <si>
    <t>添加配置，无需AI</t>
  </si>
  <si>
    <t>#20250324002 功能优化：会计记账更多新增业务终审日期查询条件【KFXQ-CX-2025032000088】</t>
  </si>
  <si>
    <t>添加查询条件，无需AI</t>
  </si>
  <si>
    <t>#20250324002 功能调整：部门财务报告-与部门决算对账、与资产报告核对-保存校验不通过提示的报表项目正序全部展示【GFR202503061】</t>
  </si>
  <si>
    <t>http://223.223.178.68:2277/i/d064d5e1-3b6e-48ec-8c68-0bfcf8aa258c.jpg</t>
  </si>
  <si>
    <t>使用AI优化代码，使代码更简洁，更符合规范</t>
  </si>
  <si>
    <t>#20250324002 功能更新：系统控制规则中的上级是否可编辑上报数据，增加选择区划，内蒙展示为：选择区划；其他项目展示为：选择部门【GFA20250304】</t>
  </si>
  <si>
    <t>http://223.223.178.68:2277/i/1aa1cf93-43f3-4d93-8795-616a62abc9e5.jpg</t>
  </si>
  <si>
    <t>通过提供功能描述，让AI生成代码， 代码可用</t>
  </si>
  <si>
    <t>20250324004</t>
  </si>
  <si>
    <t>#20250324004 功能新增：借阅审核界面，增加借阅申请人所在部门字段【KFXQ-CX-2025031900073】</t>
  </si>
  <si>
    <t>20250324005</t>
  </si>
  <si>
    <t>#20250324005 功能优化：业务审批批量审核如若开启资源权限则不在校验需要进入详情稽核，正常走批量审批接口【KFXQ-CX-2025032000001】</t>
  </si>
  <si>
    <t>调整调用的接口，无需A I</t>
  </si>
  <si>
    <t>rap</t>
  </si>
  <si>
    <t>#20250324001 功能需求【自然资源部】：应收应付款集中查询分析、应收应付款年度对比查询功能开发【RAP202411003、RAP202502001】</t>
  </si>
  <si>
    <t>http://223.223.178.68:2277/i/e1c75d44-b644-49f7-b390-5e29a7033616.jpg</t>
  </si>
  <si>
    <t>使用AI根据需要处理数据，AI能够很好地给出结果</t>
  </si>
  <si>
    <t>20250324007</t>
  </si>
  <si>
    <t>#20250324007 功能优化：适配北科院打印，选择打印模版打印后调用更新状态接口【KFXQ-CX-2025031800049】</t>
  </si>
  <si>
    <t>增加接口调用，且是已有功能，无需AI</t>
  </si>
  <si>
    <t>#20250324001 问题修复【西安电子科技】：报表导入接口传参区划mofDivCode，导入成功完成后刷新页面【QXWT-CX-2025032100020】</t>
  </si>
  <si>
    <t>20250324008</t>
  </si>
  <si>
    <t>代码迁移,无需AI</t>
  </si>
  <si>
    <t>20250324003</t>
  </si>
  <si>
    <t>#20250324003 问题修复：调整综合、行政区管理下级财务报告综合审核-公式审核审核通过设置审核主体(3.0-389)</t>
  </si>
  <si>
    <t>#20250324004 功能完善：甘肃环境部门、综合、行政区编制并上报综合财务报告页面编辑模板添加校验工作【GFR202502014】</t>
  </si>
  <si>
    <t>20250325001</t>
  </si>
  <si>
    <t>#20250325001 功能完善：部门财务报告报表编报页面补充表3、补充表4保存按钮是否显示，添加财报控制规则【GFR202503062】</t>
  </si>
  <si>
    <t>#20250325001 功能需求【标准产品】：/eva/wf/batchRevoke接口增加processInstanceId参数【PRJGX202502001】</t>
  </si>
  <si>
    <t>#20250325001 功能新增：包头大屏项目新增会议费、培训费图表【PEX202503023】</t>
  </si>
  <si>
    <t>http://223.223.178.68:2277/i/a15824d9-00ad-49a8-bbc3-a4ecd028d749.jpg</t>
  </si>
  <si>
    <t>使用AI优化第三方组件，对于第三方组件，AI比开发更能精准的处理对应的逻辑，节约开发时间</t>
  </si>
  <si>
    <t>20250325002</t>
  </si>
  <si>
    <t>#20250325002 功能新增：增加组件、组卷、归档不同状态的数据统计查询页面【EFM202503005】</t>
  </si>
  <si>
    <t>#20250325002 功能优化：国库司/部门司/业务处室/农业综合/土储/总预算-综合审核-公式审核-公式内容展示变量修正</t>
  </si>
  <si>
    <t>调整展示的内容，无需AI</t>
  </si>
  <si>
    <t>#20250325001 功能需求【自然资源部】：催收结果上传、往来账款催收结果查询功能开发【RAP202502002】</t>
  </si>
  <si>
    <t>查询功能，逻辑简单，无需AI</t>
  </si>
  <si>
    <t>20250325003</t>
  </si>
  <si>
    <t>#20250325003 功能完善：部门、综合、行政区、总会计-确认年初数-长期投资及投资收益明细表附表查询组成表格结构调整【GFR202502046】</t>
  </si>
  <si>
    <t>调整表格的显示，无需AI</t>
  </si>
  <si>
    <t>20250326001</t>
  </si>
  <si>
    <t>#20250326001 功能优化：往来单位修改名称去掉空格限制【MAD202503005】</t>
  </si>
  <si>
    <t>增加组件属性，无需AI</t>
  </si>
  <si>
    <t>#20250326001 问题修复【标准产品】：储备、申报、执行页面授权功能相关三个接口getList、auth、batchAuth中proStatus传值更正：-1: 备选库 0:申报库 1: 执行库【QXWT-CX-2025032100085】</t>
  </si>
  <si>
    <t>调整接口参数，无需Ai</t>
  </si>
  <si>
    <t>http://223.223.178.68:2277/i/570cb0ea-304f-474b-aa4d-dc6e3d154f05.jpg</t>
  </si>
  <si>
    <t>#20250326001 问题修复【自然资源部】：处理“标记为期初凭证后，凭证差异状态不会更新”问题【QXWT-CX-2025031100088】</t>
  </si>
  <si>
    <t>调整数据赋值逻辑，无需AI</t>
  </si>
  <si>
    <t>#20250326001 功能修复：借阅办理-借阅会计账簿时，在线阅览室打开借阅的总账报错，下载后打开的也是报错【QXWT-CX-2025032400029】</t>
  </si>
  <si>
    <t>20250326003</t>
  </si>
  <si>
    <t>#20250326003 功能新增：借阅办理，纸质凭证归还兼容档案盒凭证装盒归还【EFM202503027】</t>
  </si>
  <si>
    <t>#20250326001 功能新增：部门、综合、行政区报表编报页面底部添加选中单元格合计【GFR202503010】</t>
  </si>
  <si>
    <t>20250327001</t>
  </si>
  <si>
    <t>#20250327001 功能新增：【往来升级】往来科目余额和余额表科目余额对比表【RAP202411001】</t>
  </si>
  <si>
    <t>添加对比表，可基于已有代码处理，无需AI</t>
  </si>
  <si>
    <t>#20250327002 功能需求【标准产品】：政府采购预算块合计、金额、小计列与其他行的文字保持在一行，二级项目申报(新)待送审页面中，操作列按钮均更改为一致使用el-button，避免部分电脑显示的样式不一致【PRJBZ202503015】</t>
  </si>
  <si>
    <t>调整组件，无需AI</t>
  </si>
  <si>
    <t>#20250327001 功能修复：广美电子档案借阅办理完成后生成档案包下载报错【QXWT-CX-2025032400016】</t>
  </si>
  <si>
    <t>20250327004</t>
  </si>
  <si>
    <t>#20250327004 问题修复【标准产品】：二级项目下发页面数据源保存接口增加fieldType字段【QXWT-CX-2025032700048】</t>
  </si>
  <si>
    <t>接口添加参数，无需AI</t>
  </si>
  <si>
    <t>20250327005</t>
  </si>
  <si>
    <t>#20250327005 问题修复【标准产品】：项目样式配置用户初始化节点提示错别字更正【QXWT-CX-2025032700012】</t>
  </si>
  <si>
    <t>调整提示信息错别字，无需AI</t>
  </si>
  <si>
    <t>#20250327004 功能新增：财报控制规则新增修复审核公式数据功能【GFR202503067】</t>
  </si>
  <si>
    <t>#20250327001 功能新增：电子会计档案：待办提醒，档案借阅待办信息增加借阅人【KFXQ-CX-2025031900069】</t>
  </si>
  <si>
    <t>20250327006</t>
  </si>
  <si>
    <t>#20250327006 问题修复【标准产品】：项目详情页测算信息块中是否基建项目字段赋值逻辑修改，影响设置部门经济分类数据，中央基建投资 309，311【QXWT-CX-2025032600048】</t>
  </si>
  <si>
    <t>调整字段赋值逻辑，无需AI</t>
  </si>
  <si>
    <t>#20250327002 功能新增：收入管理，暂存收入，需增加撤销或者取消按钮【RM202503011】</t>
  </si>
  <si>
    <t>添加按钮，无需AI</t>
  </si>
  <si>
    <t>20250328001</t>
  </si>
  <si>
    <t>#20250328001  功能完善：综合财务报告-大本级综合审核按单位添加对账事项审核节点【GFR202503068】</t>
  </si>
  <si>
    <t>修改判断逻辑，未使用AI</t>
  </si>
  <si>
    <t>20250328002</t>
  </si>
  <si>
    <t>#20250328002 功能完善：调整财报控制规则上报报告时校验资产衔接说明，部门审核与上报及下级单位报告管理资产衔接说明调整【GFR202503001】</t>
  </si>
  <si>
    <t>增加按钮，未使用AI</t>
  </si>
  <si>
    <t>20250331001</t>
  </si>
  <si>
    <t xml:space="preserve">#20250331001 功能新增：电子档案-组件，自动挂接所选报销单关联的原始凭证功能【QXWT-CX-2025032400074】
</t>
  </si>
  <si>
    <t>#20250331001 功能需求【422项目】：首页增加&lt;预算编制支出分类&gt;&lt;预算执行情况&gt;&lt;预算执行支出分类&gt;&lt;规划内预算项目申报情况&gt;&lt;机关基础数据&gt;&lt;业务办理量&gt;&lt;预算执行预警&gt;&lt;行政经费分月支付情况&gt;&lt;基建经费分月支付情况&gt;九个块【PRJBW202503010~PRJBW202503017】</t>
  </si>
  <si>
    <t>http://223.223.178.68:2277/i/f9813e54-d441-491d-a389-c2bb37b40640.jpg</t>
  </si>
  <si>
    <t>使用AI生成对指定数据的处理方法，节约时间，且更准确</t>
  </si>
  <si>
    <t>包含home、pa、prj三个模块补丁</t>
  </si>
  <si>
    <t>20250331002</t>
  </si>
  <si>
    <t xml:space="preserve">#20250331002 功能新增：1.在【账簿档案查看】新增“日记账”页签；
2.【账簿档案】-【日记账】增加“生成账簿档案”功能按钮，生成后数据在【账簿档案查看】的“日记账”下显示；【EFM202503010】</t>
  </si>
  <si>
    <t>#20250331001 问题修复：调整总会计报表-设置基础数据页面编辑保存接口调整区划取值(甘肃-152)</t>
  </si>
  <si>
    <t>修改参数取值，未使用AI</t>
  </si>
  <si>
    <t>#20250331002 功能需求【财政部一体化】：开启“是否开启电子凭证管理凭证附件”配置后，凭证编制中附件的附件摘要更改为billDescpt，附件类型更改为票据类型billType【YTH202504007】</t>
  </si>
  <si>
    <t>调整字段，无需AI</t>
  </si>
  <si>
    <t>#20250331001 功能优化：新增季度控制重置下拉数据</t>
  </si>
  <si>
    <t>添加重置数据逻辑，无需AI</t>
  </si>
  <si>
    <t>#20250331002 功能新增：新增消息通知设置页面，消息通知、通知模板、相关功能开发【PCX202411178】</t>
  </si>
  <si>
    <t>http://223.223.178.68:2277/i/c9ce4d2f-84ff-4a25-8e00-328ca572ca21.jpg</t>
  </si>
  <si>
    <t>使用AI处理指定的功能逻辑，节约时间</t>
  </si>
  <si>
    <t>#20250331001 问题修复【标准产品】：处理“账务处理-预算结余与净资产差异明细表，导出报错”问题【QXWT-CX-2025032700078】</t>
  </si>
  <si>
    <t>20250331005</t>
  </si>
  <si>
    <t>#20250331005 功能新增：账簿查询页面-其它辅助性账簿上传那块，不加科目限制【EFM202503029】</t>
  </si>
  <si>
    <t>#20250327003 问题修复【标准产品】：处理“绩效指标鼠标放在空白的格子上显示undefined”问题【QXWT-CX-2025032600053】</t>
  </si>
  <si>
    <t>调整显示的逻辑，无需AI</t>
  </si>
  <si>
    <t>#20250331002 问题修复【标准产品】：专家库管理页面导入弹窗中附件删除应该仅前端删除【QXWT-CX-2025032700040】</t>
  </si>
  <si>
    <t>简单修改没有使用AI</t>
  </si>
  <si>
    <t>加减类别</t>
  </si>
  <si>
    <t>描述</t>
  </si>
  <si>
    <t>时间</t>
  </si>
  <si>
    <t>评审引出缺陷</t>
  </si>
  <si>
    <t xml:space="preserve">预览接口没有加密。
原因：参数没有加密</t>
  </si>
  <si>
    <t xml:space="preserve">问题：二级项目申报详情页面一级项目字段展示为下拉选择且无数据源
原因：一级项目字段为项目调整功能才开启字段，固没加页面控制</t>
  </si>
  <si>
    <t>2024年10月16日</t>
  </si>
  <si>
    <t xml:space="preserve">问题：科研项目预算项金额不能填写负数，之前的版本是可以的
原因：处理需求冲突的时候把之前的需求给覆盖了</t>
  </si>
  <si>
    <t>2024年2月9日</t>
  </si>
  <si>
    <t xml:space="preserve">问题：部门人员中的人员已经停用，但在编制凭证时，还能选到且能保存成功
原因：没有对停用的人员进行过滤
备注：史晓宇离职记赵志伟</t>
  </si>
  <si>
    <t>2024年4月26日</t>
  </si>
  <si>
    <t>2024年7月19日</t>
  </si>
  <si>
    <t xml:space="preserve">现象：1、高拍仪拍完后，点击确认无反应。2、多个拍照完点击确认在附件上传的本地上传中没有初始凭证类型“其他”
原因：1、上传接口加密，导致报错。2、程序未赋值默认值，只执行一次</t>
  </si>
  <si>
    <t xml:space="preserve">问题：控制台报错
原因：自定义块被规则隐藏，暂存时获取该块的数据时获取不到dom</t>
  </si>
  <si>
    <t>2023年12月10日</t>
  </si>
  <si>
    <t xml:space="preserve">问题：进入页面的时候一只有一个密级提示
原因：项目库存在一些块组件，在页面渲染的时候就执行了提示操作</t>
  </si>
  <si>
    <t>2025年1月16日</t>
  </si>
  <si>
    <t xml:space="preserve">问题：报销单保存之后补充附件弹框无法带出填报时添加的附件；附件补充后会覆盖填报时添加的附件清单。
原因：这个是去年解决过的一个问题，在补充附件弹框中没有兼容普通报销的情况，导致originBill取不到值</t>
  </si>
  <si>
    <t>2024年9月14日</t>
  </si>
  <si>
    <t xml:space="preserve">问题：部门财务报告-上传操作手册后，部门用户看不到上传的资料
原因：缺少逻辑</t>
  </si>
  <si>
    <t>2024年10月31日</t>
  </si>
  <si>
    <t xml:space="preserve">问题：【账务处理】-【凭证箱】-打印设置里选择打印模板报错且调用的模板不正确
原因：缺少参数
备注：不知道引出人是谁，记录赵志伟</t>
  </si>
  <si>
    <t>2024年2月29日</t>
  </si>
  <si>
    <t xml:space="preserve">问题：需求数点下达时会把填的数字转换为万元，控制数不会
原因：需求数有对应的处理，控制数未做处理
备注：栾武旭已离职，记何佳浩</t>
  </si>
  <si>
    <t>2024年6月25日</t>
  </si>
  <si>
    <t xml:space="preserve">问题：预览接口未加密
原因：使用拼接传参，没有请求体传参</t>
  </si>
  <si>
    <t>2024年11月13日</t>
  </si>
  <si>
    <t>2024年11月7日</t>
  </si>
  <si>
    <t xml:space="preserve">问题：未加密
原因：ecs预览组件需要加密</t>
  </si>
  <si>
    <t>2024年7月18日</t>
  </si>
  <si>
    <t xml:space="preserve">问题：项目库绩效目标内容不显示
原因：修改代码时删除了keep-alive标签，导致actived周期时的代码没有被调用</t>
  </si>
  <si>
    <t>2024年7月29日</t>
  </si>
  <si>
    <t xml:space="preserve">问题：凭证编制，单张模式点击保存没有反应（有预算会计）控制台报错
原因：方法参数写死，导致无法获取正确的数据
备注：张衔已离职，记录赵志伟</t>
  </si>
  <si>
    <t>2024年12月31日</t>
  </si>
  <si>
    <t xml:space="preserve">问题：【凭证箱】导出时两个选项导出数据相同没区分
原因：选择凭证主信息时类型传参错误</t>
  </si>
  <si>
    <t>2024年5月31日</t>
  </si>
  <si>
    <t xml:space="preserve">问题：普通差旅费报销单，填写完引导页，无法带出同行人
原因：引导页数据处理有问题，未处理同行人参数</t>
  </si>
  <si>
    <t>2024年8月31日</t>
  </si>
  <si>
    <t xml:space="preserve">问题：普通报销单差旅费“公务用车”逐个勾选出差人时无法成功勾选
原因：checkbox输入框change事件设置值的时候不对</t>
  </si>
  <si>
    <t xml:space="preserve">登记人:翟雨欣
登记时间：2025年3月31日
问题：处理“账务处理-预算结余与净资产差异明细表，导出报错”问题
原因：使用的导出不对
备注：史晓宇已离职，记录赵志伟</t>
  </si>
  <si>
    <t>2024年7月22日</t>
  </si>
  <si>
    <t xml:space="preserve">登记人:周兴杰
登记时间：2025年3月27日
问题：绩效配置点卡卡死
原因：初始化成功未关闭loading</t>
  </si>
  <si>
    <t>2024年9月27日</t>
  </si>
  <si>
    <t xml:space="preserve">登记人:代吉盛
登记时间：2025年3月26日
问题：暂存项目编辑时保存，保存并校验控制台报错
原因：分年支出计划块没执行初始化方法，taskProject块没有抛出mounted事件</t>
  </si>
  <si>
    <t xml:space="preserve">登记人:代吉盛
登记时间：2025年3月26日
问题：资产块密级相关四个字段联动与项目信息块不一致
原因：需求多次改动</t>
  </si>
  <si>
    <t>2024年9月23日</t>
  </si>
  <si>
    <t xml:space="preserve">登记人:谢润琳
登记时间：2025年3月25日
预览接口没有加密。
原因：参数没有加密</t>
  </si>
  <si>
    <t xml:space="preserve">登记人:代吉盛
登记时间：2025年3月21日
问题：二级项目申报详情页面一级项目字段展示为下拉选择且无数据源
原因：一级项目字段为项目调整功能才开启字段，固没加页面控制</t>
  </si>
  <si>
    <t xml:space="preserve">登记人:周兴杰
登记时间：2025年3月20日
问题：科研项目预算项金额不能填写负数，之前的版本是可以的
原因：处理需求冲突的时候把之前的需求给覆盖了</t>
  </si>
  <si>
    <t xml:space="preserve">登记人:夏铭
登记时间：2025年3月19日
问题：部门人员中的人员已经停用，但在编制凭证时，还能选到且能保存成功
原因：没有对停用的人员进行过滤
备注：史晓宇离职记赵志伟</t>
  </si>
  <si>
    <t xml:space="preserve">登记人:谢润琳
登记时间：2025年3月19日
null</t>
  </si>
  <si>
    <t xml:space="preserve">登记人:谢润琳
登记时间：2025年3月19日
现象：1、高拍仪拍完后，点击确认无反应。2、多个拍照完点击确认在附件上传的本地上传中没有初始凭证类型“其他”
原因：1、上传接口加密，导致报错。2、程序未赋值默认值，只执行一次</t>
  </si>
  <si>
    <t xml:space="preserve">登记人:翟雨欣
登记时间：2025年3月17日
问题：控制台报错
原因：自定义块被规则隐藏，暂存时获取该块的数据时获取不到dom</t>
  </si>
  <si>
    <t xml:space="preserve">登记人:翟雨欣
登记时间：2025年3月17日
问题：进入页面的时候一只有一个密级提示
原因：项目库存在一些块组件，在页面渲染的时候就执行了提示操作</t>
  </si>
  <si>
    <t xml:space="preserve">登记人:石晓璐
登记时间：2025年3月15日
问题：报销单保存之后补充附件弹框无法带出填报时添加的附件；附件补充后会覆盖填报时添加的附件清单。
原因：这个是去年解决过的一个问题，在补充附件弹框中没有兼容普通报销的情况，导致originBill取不到值</t>
  </si>
  <si>
    <t xml:space="preserve">登记人:王旭超
登记时间：2025年3月14日
问题：部门财务报告-上传操作手册后，部门用户看不到上传的资料
原因：缺少逻辑</t>
  </si>
  <si>
    <t xml:space="preserve">登记人:翟雨欣
登记时间：2025年3月11日
问题：【账务处理】-【凭证箱】-打印设置里选择打印模板报错且调用的模板不正确
原因：缺少参数
备注：不知道引出人是谁，记录赵志伟</t>
  </si>
  <si>
    <t xml:space="preserve">登记人:王帆
登记时间：2025年3月5日
问题：需求数点下达时会把填的数字转换为万元，控制数不会
原因：需求数有对应的处理，控制数未做处理
备注：栾武旭已离职，记何佳浩</t>
  </si>
  <si>
    <t xml:space="preserve">登记人:常博
登记时间：2025年3月5日
问题：预览接口未加密
原因：使用拼接传参，没有请求体传参</t>
  </si>
  <si>
    <t xml:space="preserve">登记人:常博
登记时间：2025年3月4日
问题：未加密
原因：ecs预览组件需要加密</t>
  </si>
  <si>
    <t xml:space="preserve">登记人:夏铭
登记时间：2025年3月3日
问题：项目库绩效目标内容不显示
原因：修改代码时删除了keep-alive标签，导致actived周期时的代码没有被调用</t>
  </si>
  <si>
    <t xml:space="preserve">登记人:翟雨欣
登记时间：2025年3月3日
问题：凭证编制，单张模式点击保存没有反应（有预算会计）控制台报错
原因：方法参数写死，导致无法获取正确的数据
备注：张衔已离职，记录赵志伟</t>
  </si>
  <si>
    <t xml:space="preserve">登记人:修春铭
登记时间：2025年3月3日
问题：【凭证箱】导出时两个选项导出数据相同没区分
原因：选择凭证主信息时类型传参错误</t>
  </si>
  <si>
    <t xml:space="preserve">登记人:豆方威
登记时间：2025年3月3日
问题：普通差旅费报销单，填写完引导页，无法带出同行人
原因：引导页数据处理有问题，未处理同行人参数</t>
  </si>
  <si>
    <t xml:space="preserve">登记人:豆方威
登记时间：2025年3月3日
问题：普通报销单差旅费“公务用车”逐个勾选出差人时无法成功勾选
原因：checkbox输入框change事件设置值的时候不对</t>
  </si>
  <si>
    <t xml:space="preserve">问题：附件删除时接口报错
原因：附件删除使用列表行数据删除方法导致报错
备注：高向清离职，记录何佳浩</t>
  </si>
  <si>
    <t xml:space="preserve">问题：处理“绩效指标鼠标放在空白的格子上显示undefined”问题
原因：电脑问题</t>
  </si>
  <si>
    <t xml:space="preserve">问题：审核用户在待审核界面，点击项目名称，项目预览界面不显示上传的附件
原因：执行顺序异常
备注：axinouni，记何佳浩</t>
  </si>
  <si>
    <t xml:space="preserve">问题：选择基建项目类型为中央基建投资时，部门经济分类未做309，311过滤
原因：赋值是否基建项目字段是判断错误，该字段1是2否</t>
  </si>
  <si>
    <t xml:space="preserve">问题：存在错别字
原因：存在错别字</t>
  </si>
  <si>
    <t xml:space="preserve">问题：二级项目下发页面查询接口查询不到新增的数据源
原因：数据源保存时未传参页面类型</t>
  </si>
  <si>
    <t xml:space="preserve">问题：备选项目填报对备选测试项目进行查询授权给900001003 后，在900001003用户的备选库查询中查不到此项目
原因：授权相关接口proStatus参数传值错误
备注：刘敏敏离职，记录何佳浩；代码提交记录及旧评审表找不到评审人 监督人，记录廖俊闻</t>
  </si>
  <si>
    <t xml:space="preserve">问题：导入成功的数据查询不到
原因：缺少区划参数且导入成功后没有刷新列表
备注：引出人员未知：1289146394，记录何佳浩</t>
  </si>
  <si>
    <t xml:space="preserve">问题：要素保存时提示为空
原因：接口取值错误</t>
  </si>
  <si>
    <t xml:space="preserve">问题：开启附件清单块后，项目申报新增时进入报红叉，查看控制台报错
原因：将已解析的对象再次进行 JSON.parse 导致异常</t>
  </si>
  <si>
    <t xml:space="preserve">问题：二级项目调整保存后点击提交，一直提示® 单据号:null已提交
原因：调整保存接口单位传参错误
备注：王宗宇离职，记录何佳浩</t>
  </si>
  <si>
    <t xml:space="preserve">问题：绩效自评填报分数不会自动出现
原因：当使用 _.cloneDeep 时： 会拷贝普通对象属性
会丢失Vue添加的响应式getter/setter，会破坏对象属性的引用链</t>
  </si>
  <si>
    <t>AI代码优化</t>
  </si>
  <si>
    <t>ai代码优化共0次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</si>
</sst>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_ "/>
    <numFmt numFmtId="165" formatCode="#,##0_ "/>
    <numFmt numFmtId="166" formatCode="0_ "/>
    <numFmt numFmtId="167" formatCode="yyyy&quot;年&quot;m&quot;月&quot;d&quot;日&quot;;@"/>
  </numFmts>
  <fonts count="22" x14ac:knownFonts="1">
    <font>
      <color theme="1"/>
      <family val="2"/>
      <scheme val="minor"/>
      <sz val="11"/>
      <name val="Calibri"/>
    </font>
    <font>
      <charset val="134"/>
      <sz val="11"/>
      <name val="宋体"/>
    </font>
    <font>
      <charset val="134"/>
      <sz val="11"/>
      <name val="SimSun"/>
    </font>
    <font>
      <charset val="134"/>
      <color theme="1"/>
      <sz val="10"/>
      <name val="等线"/>
    </font>
    <font>
      <i/>
      <charset val="134"/>
      <sz val="11"/>
      <name val="宋体"/>
    </font>
    <font>
      <charset val="134"/>
      <color theme="1"/>
      <scheme val="minor"/>
      <sz val="10"/>
      <name val="宋体"/>
    </font>
    <font>
      <charset val="134"/>
      <sz val="10"/>
      <name val="等线"/>
    </font>
    <font>
      <b/>
      <charset val="134"/>
      <sz val="10"/>
      <name val="等线"/>
    </font>
    <font>
      <sz val="10"/>
    </font>
    <font>
      <b/>
      <charset val="134"/>
      <sz val="10"/>
      <name val="Arial"/>
    </font>
    <font>
      <b/>
      <charset val="134"/>
      <sz val="10"/>
      <name val="宋体-简"/>
    </font>
    <font>
      <b/>
      <charset val="134"/>
      <sz val="10"/>
      <name val="SimSun"/>
    </font>
    <font>
      <charset val="134"/>
      <color theme="1"/>
      <sz val="11"/>
      <name val="宋体"/>
    </font>
    <font>
      <b/>
      <charset val="134"/>
      <sz val="11"/>
      <name val="等线"/>
    </font>
    <font>
      <b/>
      <charset val="134"/>
      <sz val="12"/>
      <name val="等线"/>
    </font>
    <font>
      <b/>
      <sz val="12"/>
      <name val="等线"/>
    </font>
    <font>
      <b/>
      <sz val="10"/>
      <name val="Arial"/>
    </font>
    <font>
      <b/>
      <sz val="10"/>
      <name val="宋体-简"/>
    </font>
    <font>
      <b/>
      <sz val="10"/>
      <name val="SimSun"/>
    </font>
    <font>
      <color theme="1"/>
      <sz val="10"/>
      <name val="等线"/>
    </font>
    <font>
      <b/>
      <charset val="134"/>
      <sz val="11"/>
      <name val="宋体"/>
    </font>
    <font>
      <charset val="134"/>
      <sz val="9"/>
      <name val="等线"/>
    </font>
  </fonts>
  <fills count="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2CC"/>
        <bgColor indexed="64"/>
      </patternFill>
    </fill>
    <fill>
      <patternFill patternType="solid">
        <fgColor rgb="FFFFFFFF"/>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wrapText="1"/>
    </xf>
    <xf numFmtId="10"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vertical="center" wrapText="1"/>
    </xf>
    <xf numFmtId="10" fontId="1"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xf>
    <xf numFmtId="0" fontId="3" fillId="0" borderId="1" xfId="0" applyFont="1" applyBorder="1" applyAlignment="1">
      <alignment vertical="center"/>
    </xf>
    <xf numFmtId="0" fontId="1" fillId="0" borderId="1" xfId="0" applyFont="1" applyBorder="1" applyAlignment="1">
      <alignment vertical="center" wrapText="1"/>
    </xf>
    <xf numFmtId="0" fontId="1" fillId="0" borderId="2" xfId="0" applyFont="1" applyBorder="1" applyAlignment="1">
      <alignment vertical="center" wrapText="1"/>
    </xf>
    <xf numFmtId="10" fontId="1" fillId="0" borderId="2" xfId="0" applyNumberFormat="1" applyFont="1" applyBorder="1" applyAlignment="1">
      <alignment horizontal="center" vertical="center" wrapText="1"/>
    </xf>
    <xf numFmtId="0" fontId="1" fillId="3" borderId="1" xfId="0" applyFont="1" applyFill="1" applyBorder="1" applyAlignment="1">
      <alignment horizontal="center" vertical="center"/>
    </xf>
    <xf numFmtId="10" fontId="1" fillId="3" borderId="1" xfId="0" applyNumberFormat="1" applyFont="1" applyFill="1" applyBorder="1" applyAlignment="1">
      <alignment horizontal="center" vertical="center"/>
    </xf>
    <xf numFmtId="164" fontId="1" fillId="3" borderId="1" xfId="0" applyNumberFormat="1" applyFont="1" applyFill="1" applyBorder="1" applyAlignment="1">
      <alignment horizontal="center" vertical="center"/>
    </xf>
    <xf numFmtId="0" fontId="1" fillId="0" borderId="1" xfId="0" applyFont="1" applyBorder="1" applyAlignment="1">
      <alignment horizontal="center"/>
    </xf>
    <xf numFmtId="0" fontId="4" fillId="0" borderId="1" xfId="0" applyFont="1" applyBorder="1" applyAlignment="1">
      <alignment vertical="bottom"/>
    </xf>
    <xf numFmtId="10" fontId="1" fillId="0" borderId="1" xfId="0" applyNumberFormat="1" applyFont="1" applyBorder="1" applyAlignment="1">
      <alignment horizontal="center" vertical="center"/>
    </xf>
    <xf numFmtId="164" fontId="1" fillId="0" borderId="1" xfId="0" applyNumberFormat="1" applyFont="1" applyBorder="1" applyAlignment="1">
      <alignment horizontal="center"/>
    </xf>
    <xf numFmtId="164" fontId="1" fillId="0" borderId="3" xfId="0" applyNumberFormat="1" applyFont="1" applyBorder="1" applyAlignment="1">
      <alignment horizontal="center"/>
    </xf>
    <xf numFmtId="164" fontId="1" fillId="0" borderId="4" xfId="0" applyNumberFormat="1" applyFont="1" applyBorder="1" applyAlignment="1">
      <alignment horizontal="center" vertical="center"/>
    </xf>
    <xf numFmtId="0" fontId="3" fillId="0" borderId="4" xfId="0" applyFont="1" applyBorder="1" applyAlignment="1">
      <alignment vertical="center"/>
    </xf>
    <xf numFmtId="164" fontId="1" fillId="3" borderId="1" xfId="0" applyNumberFormat="1" applyFont="1" applyFill="1" applyBorder="1" applyAlignment="1">
      <alignment horizontal="center"/>
    </xf>
    <xf numFmtId="164" fontId="1" fillId="3" borderId="3" xfId="0" applyNumberFormat="1" applyFont="1" applyFill="1" applyBorder="1" applyAlignment="1">
      <alignment horizontal="center"/>
    </xf>
    <xf numFmtId="10" fontId="2" fillId="0" borderId="1" xfId="0" applyNumberFormat="1" applyFont="1" applyBorder="1" applyAlignment="1">
      <alignment horizontal="center" vertical="center"/>
    </xf>
    <xf numFmtId="0" fontId="4" fillId="0" borderId="1" xfId="0" applyFont="1" applyBorder="1" applyAlignment="1">
      <alignment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xf>
    <xf numFmtId="0" fontId="5" fillId="0" borderId="0" xfId="0" applyFont="1" applyAlignment="1">
      <alignment vertical="center"/>
    </xf>
    <xf numFmtId="164" fontId="5" fillId="0" borderId="0" xfId="0" applyNumberFormat="1" applyFont="1" applyAlignment="1">
      <alignment vertical="center"/>
    </xf>
    <xf numFmtId="0" fontId="3" fillId="0" borderId="1" xfId="0" applyFont="1" applyBorder="1" applyAlignment="1">
      <alignment vertical="center" wrapText="1"/>
    </xf>
    <xf numFmtId="0" fontId="6" fillId="4" borderId="0" xfId="0" applyFont="1" applyFill="1" applyAlignment="1">
      <alignment vertical="center"/>
    </xf>
    <xf numFmtId="0" fontId="7" fillId="4" borderId="1" xfId="0" applyFont="1" applyFill="1" applyBorder="1" applyAlignment="1">
      <alignment horizontal="center" vertical="center" wrapText="1"/>
    </xf>
    <xf numFmtId="0" fontId="6" fillId="4" borderId="1" xfId="0" applyFont="1" applyFill="1" applyBorder="1" applyAlignment="1">
      <alignment vertical="center"/>
    </xf>
    <xf numFmtId="0" fontId="8" fillId="5" borderId="5" xfId="0" applyFont="1" applyFill="1" applyBorder="1" applyAlignment="1">
      <alignment horizontal="center" vertical="center" wrapText="1"/>
    </xf>
    <xf numFmtId="0" fontId="7" fillId="4" borderId="0" xfId="0" applyFont="1" applyFill="1" applyAlignment="1">
      <alignment horizontal="center" vertical="center"/>
    </xf>
    <xf numFmtId="0" fontId="7"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0" borderId="1" xfId="0" applyFont="1" applyBorder="1" applyAlignment="1">
      <alignment vertical="center"/>
    </xf>
    <xf numFmtId="0" fontId="13"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6" fillId="4" borderId="1" xfId="0" applyFont="1" applyFill="1" applyBorder="1" applyAlignment="1">
      <alignment horizontal="center" vertical="center"/>
    </xf>
    <xf numFmtId="0" fontId="17" fillId="4" borderId="1" xfId="0" applyFont="1" applyFill="1" applyBorder="1" applyAlignment="1">
      <alignment horizontal="center" vertical="center"/>
    </xf>
    <xf numFmtId="0" fontId="18" fillId="3" borderId="1" xfId="0" applyFont="1" applyFill="1" applyBorder="1" applyAlignment="1">
      <alignment horizontal="center" vertical="center"/>
    </xf>
    <xf numFmtId="0" fontId="19" fillId="0" borderId="1" xfId="0" applyFont="1" applyBorder="1" applyAlignment="1">
      <alignment vertical="center"/>
    </xf>
    <xf numFmtId="0" fontId="16" fillId="4"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165" fontId="20" fillId="3" borderId="1" xfId="0" applyNumberFormat="1" applyFont="1" applyFill="1" applyBorder="1" applyAlignment="1">
      <alignment horizontal="center" vertical="center" wrapText="1"/>
    </xf>
    <xf numFmtId="166" fontId="20" fillId="3" borderId="1" xfId="0" applyNumberFormat="1" applyFont="1" applyFill="1" applyBorder="1" applyAlignment="1">
      <alignment horizontal="center" vertical="center" wrapText="1"/>
    </xf>
    <xf numFmtId="0" fontId="21" fillId="0" borderId="1" xfId="0" applyFont="1" applyBorder="1" applyAlignment="1">
      <alignment vertical="center"/>
    </xf>
    <xf numFmtId="167" fontId="1" fillId="0" borderId="1" xfId="0" applyNumberFormat="1" applyFont="1" applyBorder="1" applyAlignment="1">
      <alignment horizontal="left" vertical="center" wrapText="1"/>
    </xf>
    <xf numFmtId="165" fontId="1" fillId="0" borderId="1" xfId="0" applyNumberFormat="1" applyFont="1" applyBorder="1" applyAlignment="1">
      <alignment horizontal="center" vertical="center" wrapText="1"/>
    </xf>
    <xf numFmtId="166" fontId="1" fillId="0" borderId="1" xfId="0" applyNumberFormat="1" applyFont="1" applyBorder="1" applyAlignment="1">
      <alignment vertical="center" wrapText="1"/>
    </xf>
    <xf numFmtId="0" fontId="1" fillId="0" borderId="1" xfId="0" applyFont="1" applyBorder="1" applyAlignment="1">
      <alignment horizontal="center" vertical="center" wrapText="1"/>
    </xf>
    <xf numFmtId="0" fontId="6"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2"/>
  <sheetViews>
    <sheetView workbookViewId="0" zoomScale="100" zoomScaleNormal="100"/>
  </sheetViews>
  <sheetFormatPr defaultRowHeight="18" outlineLevelRow="0" outlineLevelCol="7" x14ac:dyDescent="0" defaultColWidth="14" customHeight="1"/>
  <cols>
    <col min="1" max="1" width="18.7115" customWidth="1"/>
    <col min="2" max="2" width="41.7115" customWidth="1"/>
    <col min="3" max="3" width="55.7115" customWidth="1"/>
    <col min="4" max="5" width="11.7115" customWidth="1"/>
    <col min="6" max="6" width="16.7115" customWidth="1"/>
    <col min="7" max="7" width="14.7115" customWidth="1"/>
    <col min="8" max="8" width="19.7115" customWidth="1"/>
  </cols>
  <sheetData>
    <row r="1" spans="1:8" x14ac:dyDescent="0.25">
      <c r="A1" s="1" t="s">
        <v>0</v>
      </c>
      <c r="B1" s="1" t="s">
        <v>1</v>
      </c>
      <c r="C1" s="1" t="s">
        <v>2</v>
      </c>
      <c r="D1" s="2" t="s">
        <v>3</v>
      </c>
      <c r="E1" s="3" t="s">
        <v>4</v>
      </c>
      <c r="F1" s="3" t="s">
        <v>5</v>
      </c>
      <c r="G1" s="4" t="s">
        <v>6</v>
      </c>
      <c r="H1" s="5" t="s">
        <v>7</v>
      </c>
    </row>
    <row r="2" spans="1:8" x14ac:dyDescent="0.25">
      <c r="A2" s="6" t="s">
        <v>8</v>
      </c>
      <c r="B2" s="7"/>
      <c r="C2" s="7"/>
      <c r="D2" s="8"/>
      <c r="E2" s="9"/>
      <c r="F2" s="9"/>
      <c r="G2" s="9">
        <f>=F7*20%</f>
      </c>
      <c r="H2" s="9"/>
    </row>
    <row r="3" spans="1:8" x14ac:dyDescent="0.25">
      <c r="A3" s="10"/>
      <c r="B3" s="7"/>
      <c r="C3" s="7"/>
      <c r="D3" s="8"/>
      <c r="E3" s="9"/>
      <c r="F3" s="9"/>
      <c r="G3" s="10"/>
      <c r="H3" s="10"/>
    </row>
    <row r="4" spans="1:8" x14ac:dyDescent="0.25">
      <c r="A4" s="10"/>
      <c r="B4" s="11"/>
      <c r="C4" s="7"/>
      <c r="D4" s="8"/>
      <c r="E4" s="9"/>
      <c r="F4" s="9"/>
      <c r="G4" s="10"/>
      <c r="H4" s="10"/>
    </row>
    <row r="5" spans="1:8" x14ac:dyDescent="0.25">
      <c r="A5" s="10"/>
      <c r="B5" s="12"/>
      <c r="C5" s="12"/>
      <c r="D5" s="13"/>
      <c r="E5" s="9"/>
      <c r="F5" s="9"/>
      <c r="G5" s="10"/>
      <c r="H5" s="10"/>
    </row>
    <row r="6" spans="1:8" x14ac:dyDescent="0.25">
      <c r="A6" s="10"/>
      <c r="B6" s="11" t="s">
        <v>9</v>
      </c>
      <c r="C6" s="11" t="s">
        <v>10</v>
      </c>
      <c r="D6" s="13" t="s">
        <v>11</v>
      </c>
      <c r="E6" s="9"/>
      <c r="F6" s="9"/>
      <c r="G6" s="10"/>
      <c r="H6" s="10"/>
    </row>
    <row r="7" spans="1:8" x14ac:dyDescent="0.25">
      <c r="A7" s="10"/>
      <c r="B7" s="14" t="s">
        <v>12</v>
      </c>
      <c r="C7" s="10"/>
      <c r="D7" s="15">
        <f>=SUM(D2:D5)</f>
      </c>
      <c r="E7" s="16">
        <f>=SUMPRODUCT(D2:D5,E2:E5)+E6</f>
      </c>
      <c r="F7" s="16">
        <f>=SUMPRODUCT(D2:D5,F2:F5)+F6</f>
      </c>
      <c r="G7" s="10"/>
      <c r="H7" s="10"/>
    </row>
    <row r="8" spans="1:8" x14ac:dyDescent="0.25">
      <c r="A8" s="6" t="s">
        <v>13</v>
      </c>
      <c r="B8" s="17" t="s">
        <v>14</v>
      </c>
      <c r="C8" s="18" t="s">
        <v>15</v>
      </c>
      <c r="D8" s="19" t="s">
        <v>11</v>
      </c>
      <c r="E8" s="20">
        <v>0</v>
      </c>
      <c r="F8" s="21"/>
      <c r="G8" s="9">
        <f>=F27*80%</f>
      </c>
      <c r="H8" s="22"/>
    </row>
    <row r="9" spans="1:8" x14ac:dyDescent="0.25">
      <c r="A9" s="10"/>
      <c r="B9" s="17" t="s">
        <v>16</v>
      </c>
      <c r="C9" s="18" t="s">
        <v>15</v>
      </c>
      <c r="D9" s="19" t="s">
        <v>11</v>
      </c>
      <c r="E9" s="20">
        <v>0</v>
      </c>
      <c r="F9" s="21"/>
      <c r="G9" s="10"/>
      <c r="H9" s="23"/>
    </row>
    <row r="10" spans="1:8" x14ac:dyDescent="0.25">
      <c r="A10" s="10"/>
      <c r="B10" s="17" t="s">
        <v>17</v>
      </c>
      <c r="C10" s="18" t="s">
        <v>15</v>
      </c>
      <c r="D10" s="19" t="s">
        <v>11</v>
      </c>
      <c r="E10" s="20">
        <v>2.8</v>
      </c>
      <c r="F10" s="21"/>
      <c r="G10" s="10"/>
      <c r="H10" s="23"/>
    </row>
    <row r="11" spans="1:8" x14ac:dyDescent="0.25">
      <c r="A11" s="6"/>
      <c r="B11" s="17" t="s">
        <v>18</v>
      </c>
      <c r="C11" s="18" t="s">
        <v>15</v>
      </c>
      <c r="D11" s="6" t="s">
        <v>11</v>
      </c>
      <c r="E11" s="20">
        <v>0</v>
      </c>
      <c r="F11" s="21"/>
      <c r="G11" s="9"/>
      <c r="H11" s="22"/>
    </row>
    <row r="12" spans="1:8" x14ac:dyDescent="0.25">
      <c r="A12" s="6"/>
      <c r="B12" s="17" t="s">
        <v>19</v>
      </c>
      <c r="C12" s="18" t="s">
        <v>15</v>
      </c>
      <c r="D12" s="6" t="s">
        <v>11</v>
      </c>
      <c r="E12" s="20">
        <v>0</v>
      </c>
      <c r="F12" s="21"/>
      <c r="G12" s="9"/>
      <c r="H12" s="22"/>
    </row>
    <row r="13" spans="1:8" x14ac:dyDescent="0.25">
      <c r="A13" s="10"/>
      <c r="B13" s="17" t="s">
        <v>20</v>
      </c>
      <c r="C13" s="18" t="s">
        <v>15</v>
      </c>
      <c r="D13" s="19" t="s">
        <v>11</v>
      </c>
      <c r="E13" s="20"/>
      <c r="F13" s="21"/>
      <c r="G13" s="10"/>
      <c r="H13" s="23"/>
    </row>
    <row r="14" spans="1:8" x14ac:dyDescent="0.25">
      <c r="A14" s="10"/>
      <c r="B14" s="6" t="s">
        <v>21</v>
      </c>
      <c r="C14" s="18" t="s">
        <v>15</v>
      </c>
      <c r="D14" s="19" t="s">
        <v>11</v>
      </c>
      <c r="E14" s="20">
        <v>0</v>
      </c>
      <c r="F14" s="21"/>
      <c r="G14" s="10"/>
      <c r="H14" s="23"/>
    </row>
    <row r="15" spans="1:8" x14ac:dyDescent="0.25">
      <c r="A15" s="10"/>
      <c r="B15" s="6" t="s">
        <v>22</v>
      </c>
      <c r="C15" s="18" t="s">
        <v>15</v>
      </c>
      <c r="D15" s="19" t="s">
        <v>11</v>
      </c>
      <c r="E15" s="20">
        <v>-22</v>
      </c>
      <c r="F15" s="21"/>
      <c r="G15" s="10"/>
      <c r="H15" s="23"/>
    </row>
    <row r="16" spans="1:8" x14ac:dyDescent="0.25">
      <c r="A16" s="10"/>
      <c r="B16" s="14" t="s">
        <v>12</v>
      </c>
      <c r="C16" s="10"/>
      <c r="D16" s="10"/>
      <c r="E16" s="24">
        <f>=SUM(E8:E15)</f>
      </c>
      <c r="F16" s="25">
        <f>=SUM(F8:F15)</f>
      </c>
      <c r="G16" s="10"/>
      <c r="H16" s="23"/>
    </row>
    <row r="17" spans="1:8" x14ac:dyDescent="0.25">
      <c r="A17" s="6" t="s">
        <v>23</v>
      </c>
      <c r="B17" s="17" t="s">
        <v>24</v>
      </c>
      <c r="C17" s="18" t="s">
        <v>15</v>
      </c>
      <c r="D17" s="19" t="s">
        <v>11</v>
      </c>
      <c r="E17" s="20"/>
      <c r="F17" s="21"/>
      <c r="G17" s="10"/>
      <c r="H17" s="23"/>
    </row>
    <row r="18" spans="1:8" x14ac:dyDescent="0.25">
      <c r="A18" s="10"/>
      <c r="B18" s="17" t="s">
        <v>25</v>
      </c>
      <c r="C18" s="18" t="s">
        <v>15</v>
      </c>
      <c r="D18" s="19" t="s">
        <v>11</v>
      </c>
      <c r="E18" s="20">
        <v>-42</v>
      </c>
      <c r="F18" s="21"/>
      <c r="G18" s="10"/>
      <c r="H18" s="23"/>
    </row>
    <row r="19" spans="1:8" x14ac:dyDescent="0.25">
      <c r="A19" s="10"/>
      <c r="B19" s="17" t="s">
        <v>26</v>
      </c>
      <c r="C19" s="18" t="s">
        <v>15</v>
      </c>
      <c r="D19" s="19" t="s">
        <v>11</v>
      </c>
      <c r="E19" s="20"/>
      <c r="F19" s="21"/>
      <c r="G19" s="10"/>
      <c r="H19" s="23"/>
    </row>
    <row r="20" spans="1:8" x14ac:dyDescent="0.25">
      <c r="A20" s="10"/>
      <c r="B20" s="17" t="s">
        <v>27</v>
      </c>
      <c r="C20" s="18" t="s">
        <v>15</v>
      </c>
      <c r="D20" s="19" t="s">
        <v>11</v>
      </c>
      <c r="E20" s="20"/>
      <c r="F20" s="21"/>
      <c r="G20" s="10"/>
      <c r="H20" s="23"/>
    </row>
    <row r="21" spans="1:8" x14ac:dyDescent="0.25">
      <c r="A21" s="10"/>
      <c r="B21" s="17" t="s">
        <v>28</v>
      </c>
      <c r="C21" s="18" t="s">
        <v>15</v>
      </c>
      <c r="D21" s="19" t="s">
        <v>11</v>
      </c>
      <c r="E21" s="20">
        <v>81.8</v>
      </c>
      <c r="F21" s="21"/>
      <c r="G21" s="10"/>
      <c r="H21" s="23"/>
    </row>
    <row r="22" spans="1:8" x14ac:dyDescent="0.25">
      <c r="A22" s="10"/>
      <c r="B22" s="17" t="s">
        <v>29</v>
      </c>
      <c r="C22" s="18" t="s">
        <v>15</v>
      </c>
      <c r="D22" s="26" t="s">
        <v>11</v>
      </c>
      <c r="E22" s="21"/>
      <c r="F22" s="20"/>
      <c r="G22" s="10"/>
      <c r="H22" s="23"/>
    </row>
    <row r="23" spans="1:8" x14ac:dyDescent="0.25">
      <c r="A23" s="10"/>
      <c r="B23" s="17" t="s">
        <v>30</v>
      </c>
      <c r="C23" s="27" t="s">
        <v>15</v>
      </c>
      <c r="D23" s="26" t="s">
        <v>11</v>
      </c>
      <c r="E23" s="21"/>
      <c r="F23" s="20"/>
      <c r="G23" s="10"/>
      <c r="H23" s="23"/>
    </row>
    <row r="24" spans="1:8" x14ac:dyDescent="0.25">
      <c r="A24" s="10"/>
      <c r="B24" s="17" t="s">
        <v>31</v>
      </c>
      <c r="C24" s="27" t="s">
        <v>15</v>
      </c>
      <c r="D24" s="26" t="s">
        <v>11</v>
      </c>
      <c r="E24" s="20"/>
      <c r="F24" s="21"/>
      <c r="G24" s="10"/>
      <c r="H24" s="23"/>
    </row>
    <row r="25" spans="1:8" x14ac:dyDescent="0.25">
      <c r="A25" s="10"/>
      <c r="B25" s="17" t="s">
        <v>32</v>
      </c>
      <c r="C25" s="27" t="s">
        <v>15</v>
      </c>
      <c r="D25" s="26" t="s">
        <v>11</v>
      </c>
      <c r="E25" s="20"/>
      <c r="F25" s="21"/>
      <c r="G25" s="10"/>
      <c r="H25" s="23"/>
    </row>
    <row r="26" spans="1:8" x14ac:dyDescent="0.25">
      <c r="A26" s="10"/>
      <c r="B26" s="28" t="s">
        <v>12</v>
      </c>
      <c r="C26" s="10"/>
      <c r="D26" s="10"/>
      <c r="E26" s="24">
        <f>=SUM(E17:E25)</f>
      </c>
      <c r="F26" s="25">
        <f>=SUM(F17:F25)</f>
      </c>
      <c r="G26" s="10"/>
      <c r="H26" s="23"/>
    </row>
    <row r="27" spans="1:8" x14ac:dyDescent="0.25">
      <c r="A27" s="29" t="s">
        <v>33</v>
      </c>
      <c r="B27" s="10"/>
      <c r="C27" s="10"/>
      <c r="D27" s="10"/>
      <c r="E27" s="30">
        <f>=SUM(SUM(E8:E15),SUM(E17:E25))</f>
      </c>
      <c r="F27" s="30">
        <f>=SUM(SUM(F8:F15),SUM(F17:F25))</f>
      </c>
      <c r="G27" s="30">
        <f>=SUM(G2:G26)</f>
      </c>
      <c r="H27" s="30"/>
    </row>
    <row r="28" spans="1:8" x14ac:dyDescent="0.25">
      <c r="A28" s="31"/>
      <c r="B28" s="31"/>
      <c r="C28" s="31"/>
      <c r="D28" s="31"/>
      <c r="E28" s="32"/>
      <c r="F28" s="32"/>
      <c r="G28" s="32"/>
      <c r="H28" s="32"/>
    </row>
    <row r="29" spans="1:8" x14ac:dyDescent="0.25">
      <c r="A29" s="31"/>
      <c r="B29" s="31"/>
      <c r="C29" s="31"/>
      <c r="D29" s="31"/>
      <c r="E29" s="32"/>
      <c r="F29" s="32"/>
      <c r="G29" s="32"/>
      <c r="H29" s="32"/>
    </row>
    <row r="30" spans="1:8" x14ac:dyDescent="0.25">
      <c r="A30" s="31"/>
      <c r="B30" s="31"/>
      <c r="C30" s="31"/>
      <c r="D30" s="31"/>
      <c r="E30" s="32"/>
      <c r="F30" s="32"/>
      <c r="G30" s="32"/>
      <c r="H30" s="32"/>
    </row>
    <row r="31" spans="1:8" x14ac:dyDescent="0.25">
      <c r="A31" s="31"/>
      <c r="B31" s="31"/>
      <c r="C31" s="31"/>
      <c r="D31" s="31"/>
      <c r="E31" s="32"/>
      <c r="F31" s="32"/>
      <c r="G31" s="32"/>
      <c r="H31" s="32"/>
    </row>
    <row r="32" spans="1:8" x14ac:dyDescent="0.25">
      <c r="A32" s="31"/>
      <c r="B32" s="31"/>
      <c r="C32" s="31"/>
      <c r="D32" s="31"/>
      <c r="E32" s="32"/>
      <c r="F32" s="32"/>
      <c r="G32" s="32"/>
      <c r="H32" s="32"/>
    </row>
    <row r="33" spans="1:8" x14ac:dyDescent="0.25">
      <c r="A33" s="31"/>
      <c r="B33" s="31"/>
      <c r="C33" s="31"/>
      <c r="D33" s="31"/>
      <c r="E33" s="32"/>
      <c r="F33" s="32"/>
      <c r="G33" s="32"/>
      <c r="H33" s="32"/>
    </row>
    <row r="34" spans="1:8" x14ac:dyDescent="0.25">
      <c r="A34" s="31"/>
      <c r="B34" s="31"/>
      <c r="C34" s="31"/>
      <c r="D34" s="31"/>
      <c r="E34" s="32"/>
      <c r="F34" s="32"/>
      <c r="G34" s="32"/>
      <c r="H34" s="32"/>
    </row>
    <row r="35" spans="1:8" x14ac:dyDescent="0.25">
      <c r="A35" s="31"/>
      <c r="B35" s="31"/>
      <c r="C35" s="31"/>
      <c r="D35" s="31"/>
      <c r="E35" s="32"/>
      <c r="F35" s="32"/>
      <c r="G35" s="32"/>
      <c r="H35" s="32"/>
    </row>
    <row r="36" spans="1:8" x14ac:dyDescent="0.25">
      <c r="A36" s="31"/>
      <c r="B36" s="31"/>
      <c r="C36" s="31"/>
      <c r="D36" s="31"/>
      <c r="E36" s="32"/>
      <c r="F36" s="32"/>
      <c r="G36" s="32"/>
      <c r="H36" s="32"/>
    </row>
    <row r="37" spans="1:8" x14ac:dyDescent="0.25">
      <c r="A37" s="31"/>
      <c r="B37" s="31"/>
      <c r="C37" s="31"/>
      <c r="D37" s="31"/>
      <c r="E37" s="32"/>
      <c r="F37" s="32"/>
      <c r="G37" s="32"/>
      <c r="H37" s="32"/>
    </row>
    <row r="38" spans="1:8" x14ac:dyDescent="0.25">
      <c r="A38" s="31"/>
      <c r="B38" s="31"/>
      <c r="C38" s="31"/>
      <c r="D38" s="31"/>
      <c r="E38" s="32"/>
      <c r="F38" s="32"/>
      <c r="G38" s="32"/>
      <c r="H38" s="32"/>
    </row>
    <row r="39" spans="1:8" x14ac:dyDescent="0.25">
      <c r="A39" s="31"/>
      <c r="B39" s="31"/>
      <c r="C39" s="31"/>
      <c r="D39" s="31"/>
      <c r="E39" s="32"/>
      <c r="F39" s="32"/>
      <c r="G39" s="32"/>
      <c r="H39" s="32"/>
    </row>
    <row r="40" spans="1:8" x14ac:dyDescent="0.25">
      <c r="A40" s="31"/>
      <c r="B40" s="31"/>
      <c r="C40" s="31"/>
      <c r="D40" s="31"/>
      <c r="E40" s="32"/>
      <c r="F40" s="32"/>
      <c r="G40" s="32"/>
      <c r="H40" s="32"/>
    </row>
    <row r="41" spans="1:8" x14ac:dyDescent="0.25">
      <c r="A41" s="31"/>
      <c r="B41" s="31"/>
      <c r="C41" s="31"/>
      <c r="D41" s="31"/>
      <c r="E41" s="32"/>
      <c r="F41" s="32"/>
      <c r="G41" s="32"/>
      <c r="H41" s="32"/>
    </row>
    <row r="42" spans="1:8" x14ac:dyDescent="0.25">
      <c r="A42" s="31"/>
      <c r="B42" s="31"/>
      <c r="C42" s="31"/>
      <c r="D42" s="31"/>
      <c r="E42" s="32"/>
      <c r="F42" s="32"/>
      <c r="G42" s="32"/>
      <c r="H42" s="32"/>
    </row>
    <row r="43" spans="1:8" x14ac:dyDescent="0.25">
      <c r="A43" s="31"/>
      <c r="B43" s="31"/>
      <c r="C43" s="31"/>
      <c r="D43" s="31"/>
      <c r="E43" s="32"/>
      <c r="F43" s="32"/>
      <c r="G43" s="32"/>
      <c r="H43" s="32"/>
    </row>
    <row r="44" spans="1:8" x14ac:dyDescent="0.25">
      <c r="A44" s="31"/>
      <c r="B44" s="31"/>
      <c r="C44" s="31"/>
      <c r="D44" s="31"/>
      <c r="E44" s="32"/>
      <c r="F44" s="32"/>
      <c r="G44" s="32"/>
      <c r="H44" s="32"/>
    </row>
    <row r="45" spans="1:8" x14ac:dyDescent="0.25">
      <c r="A45" s="31"/>
      <c r="B45" s="31"/>
      <c r="C45" s="31"/>
      <c r="D45" s="31"/>
      <c r="E45" s="32"/>
      <c r="F45" s="32"/>
      <c r="G45" s="32"/>
      <c r="H45" s="32"/>
    </row>
    <row r="46" spans="1:8" x14ac:dyDescent="0.25">
      <c r="A46" s="31"/>
      <c r="B46" s="31"/>
      <c r="C46" s="31"/>
      <c r="D46" s="31"/>
      <c r="E46" s="32"/>
      <c r="F46" s="32"/>
      <c r="G46" s="32"/>
      <c r="H46" s="32"/>
    </row>
    <row r="47" spans="1:8" x14ac:dyDescent="0.25">
      <c r="A47" s="31"/>
      <c r="B47" s="31"/>
      <c r="C47" s="31"/>
      <c r="D47" s="31"/>
      <c r="E47" s="32"/>
      <c r="F47" s="32"/>
      <c r="G47" s="32"/>
      <c r="H47" s="32"/>
    </row>
    <row r="48" spans="1:8" x14ac:dyDescent="0.25">
      <c r="A48" s="31"/>
      <c r="B48" s="31"/>
      <c r="C48" s="31"/>
      <c r="D48" s="31"/>
      <c r="E48" s="32"/>
      <c r="F48" s="32"/>
      <c r="G48" s="32"/>
      <c r="H48" s="32"/>
    </row>
    <row r="49" spans="1:8" x14ac:dyDescent="0.25">
      <c r="A49" s="31"/>
      <c r="B49" s="31"/>
      <c r="C49" s="31"/>
      <c r="D49" s="31"/>
      <c r="E49" s="32"/>
      <c r="F49" s="32"/>
      <c r="G49" s="32"/>
      <c r="H49" s="32"/>
    </row>
    <row r="50" spans="1:8" x14ac:dyDescent="0.25">
      <c r="A50" s="31"/>
      <c r="B50" s="31"/>
      <c r="C50" s="31"/>
      <c r="D50" s="31"/>
      <c r="E50" s="32"/>
      <c r="F50" s="32"/>
      <c r="G50" s="32"/>
      <c r="H50" s="32"/>
    </row>
    <row r="51" spans="1:8" x14ac:dyDescent="0.25">
      <c r="A51" s="31"/>
      <c r="B51" s="31"/>
      <c r="C51" s="31"/>
      <c r="D51" s="31"/>
      <c r="E51" s="32"/>
      <c r="F51" s="32"/>
      <c r="G51" s="32"/>
      <c r="H51" s="32"/>
    </row>
    <row r="52" spans="1:8" x14ac:dyDescent="0.25">
      <c r="A52" s="31"/>
      <c r="B52" s="31"/>
      <c r="C52" s="31"/>
      <c r="D52" s="31"/>
      <c r="E52" s="32"/>
      <c r="F52" s="32"/>
      <c r="G52" s="32"/>
      <c r="H52" s="32"/>
    </row>
    <row r="53" spans="1:8" x14ac:dyDescent="0.25">
      <c r="A53" s="31"/>
      <c r="B53" s="31"/>
      <c r="C53" s="31"/>
      <c r="D53" s="31"/>
      <c r="E53" s="32"/>
      <c r="F53" s="32"/>
      <c r="G53" s="32"/>
      <c r="H53" s="32"/>
    </row>
    <row r="54" spans="1:8" x14ac:dyDescent="0.25">
      <c r="A54" s="31"/>
      <c r="B54" s="31"/>
      <c r="C54" s="31"/>
      <c r="D54" s="31"/>
      <c r="E54" s="32"/>
      <c r="F54" s="32"/>
      <c r="G54" s="32"/>
      <c r="H54" s="32"/>
    </row>
    <row r="55" spans="1:8" x14ac:dyDescent="0.25">
      <c r="A55" s="31"/>
      <c r="B55" s="31"/>
      <c r="C55" s="31"/>
      <c r="D55" s="31"/>
      <c r="E55" s="32"/>
      <c r="F55" s="32"/>
      <c r="G55" s="32"/>
      <c r="H55" s="32"/>
    </row>
    <row r="56" spans="1:8" x14ac:dyDescent="0.25">
      <c r="A56" s="31"/>
      <c r="B56" s="31"/>
      <c r="C56" s="31"/>
      <c r="D56" s="31"/>
      <c r="E56" s="32"/>
      <c r="F56" s="32"/>
      <c r="G56" s="32"/>
      <c r="H56" s="32"/>
    </row>
    <row r="57" spans="1:8" x14ac:dyDescent="0.25">
      <c r="A57" s="31"/>
      <c r="B57" s="31"/>
      <c r="C57" s="31"/>
      <c r="D57" s="31"/>
      <c r="E57" s="32"/>
      <c r="F57" s="32"/>
      <c r="G57" s="32"/>
      <c r="H57" s="32"/>
    </row>
    <row r="58" spans="1:8" x14ac:dyDescent="0.25">
      <c r="A58" s="31"/>
      <c r="B58" s="31"/>
      <c r="C58" s="31"/>
      <c r="D58" s="31"/>
      <c r="E58" s="32"/>
      <c r="F58" s="32"/>
      <c r="G58" s="32"/>
      <c r="H58" s="32"/>
    </row>
    <row r="59" spans="1:8" x14ac:dyDescent="0.25">
      <c r="A59" s="31"/>
      <c r="B59" s="31"/>
      <c r="C59" s="31"/>
      <c r="D59" s="31"/>
      <c r="E59" s="32"/>
      <c r="F59" s="32"/>
      <c r="G59" s="32"/>
      <c r="H59" s="32"/>
    </row>
    <row r="60" spans="1:8" x14ac:dyDescent="0.25">
      <c r="A60" s="31"/>
      <c r="B60" s="31"/>
      <c r="C60" s="31"/>
      <c r="D60" s="31"/>
      <c r="E60" s="32"/>
      <c r="F60" s="32"/>
      <c r="G60" s="32"/>
      <c r="H60" s="32"/>
    </row>
    <row r="61" spans="1:8" x14ac:dyDescent="0.25">
      <c r="A61" s="31"/>
      <c r="B61" s="31"/>
      <c r="C61" s="31"/>
      <c r="D61" s="31"/>
      <c r="E61" s="32"/>
      <c r="F61" s="32"/>
      <c r="G61" s="32"/>
      <c r="H61" s="32"/>
    </row>
    <row r="62" spans="1:8" x14ac:dyDescent="0.25">
      <c r="A62" s="31"/>
      <c r="B62" s="31"/>
      <c r="C62" s="31"/>
      <c r="D62" s="31"/>
      <c r="E62" s="32"/>
      <c r="F62" s="32"/>
      <c r="G62" s="32"/>
      <c r="H62" s="32"/>
    </row>
    <row r="63" spans="1:8" x14ac:dyDescent="0.25">
      <c r="A63" s="31"/>
      <c r="B63" s="31"/>
      <c r="C63" s="31"/>
      <c r="D63" s="31"/>
      <c r="E63" s="32"/>
      <c r="F63" s="32"/>
      <c r="G63" s="32"/>
      <c r="H63" s="32"/>
    </row>
    <row r="64" spans="1:8" x14ac:dyDescent="0.25">
      <c r="A64" s="31"/>
      <c r="B64" s="31"/>
      <c r="C64" s="31"/>
      <c r="D64" s="31"/>
      <c r="E64" s="32"/>
      <c r="F64" s="32"/>
      <c r="G64" s="32"/>
      <c r="H64" s="32"/>
    </row>
    <row r="65" spans="1:8" x14ac:dyDescent="0.25">
      <c r="A65" s="31"/>
      <c r="B65" s="31"/>
      <c r="C65" s="31"/>
      <c r="D65" s="31"/>
      <c r="E65" s="32"/>
      <c r="F65" s="32"/>
      <c r="G65" s="32"/>
      <c r="H65" s="32"/>
    </row>
    <row r="66" spans="1:8" x14ac:dyDescent="0.25">
      <c r="A66" s="31"/>
      <c r="B66" s="31"/>
      <c r="C66" s="31"/>
      <c r="D66" s="31"/>
      <c r="E66" s="32"/>
      <c r="F66" s="32"/>
      <c r="G66" s="32"/>
      <c r="H66" s="32"/>
    </row>
    <row r="67" spans="1:8" x14ac:dyDescent="0.25">
      <c r="A67" s="31"/>
      <c r="B67" s="31"/>
      <c r="C67" s="31"/>
      <c r="D67" s="31"/>
      <c r="E67" s="32"/>
      <c r="F67" s="32"/>
      <c r="G67" s="32"/>
      <c r="H67" s="32"/>
    </row>
    <row r="68" spans="1:8" x14ac:dyDescent="0.25">
      <c r="A68" s="31"/>
      <c r="B68" s="31"/>
      <c r="C68" s="31"/>
      <c r="D68" s="31"/>
      <c r="E68" s="32"/>
      <c r="F68" s="32"/>
      <c r="G68" s="32"/>
      <c r="H68" s="32"/>
    </row>
    <row r="69" spans="1:8" x14ac:dyDescent="0.25">
      <c r="A69" s="31"/>
      <c r="B69" s="31"/>
      <c r="C69" s="31"/>
      <c r="D69" s="31"/>
      <c r="E69" s="32"/>
      <c r="F69" s="32"/>
      <c r="G69" s="32"/>
      <c r="H69" s="32"/>
    </row>
    <row r="70" spans="1:8" x14ac:dyDescent="0.25">
      <c r="A70" s="31"/>
      <c r="B70" s="31"/>
      <c r="C70" s="31"/>
      <c r="D70" s="31"/>
      <c r="E70" s="32"/>
      <c r="F70" s="32"/>
      <c r="G70" s="32"/>
      <c r="H70" s="32"/>
    </row>
    <row r="71" spans="1:8" x14ac:dyDescent="0.25">
      <c r="A71" s="31"/>
      <c r="B71" s="31"/>
      <c r="C71" s="31"/>
      <c r="D71" s="31"/>
      <c r="E71" s="32"/>
      <c r="F71" s="32"/>
      <c r="G71" s="32"/>
      <c r="H71" s="32"/>
    </row>
    <row r="72" spans="1:8" x14ac:dyDescent="0.25">
      <c r="A72" s="31"/>
      <c r="B72" s="31"/>
      <c r="C72" s="31"/>
      <c r="D72" s="31"/>
      <c r="E72" s="32"/>
      <c r="F72" s="32"/>
      <c r="G72" s="32"/>
      <c r="H72" s="32"/>
    </row>
    <row r="73" spans="1:8" x14ac:dyDescent="0.25">
      <c r="A73" s="31"/>
      <c r="B73" s="31"/>
      <c r="C73" s="31"/>
      <c r="D73" s="31"/>
      <c r="E73" s="32"/>
      <c r="F73" s="32"/>
      <c r="G73" s="32"/>
      <c r="H73" s="32"/>
    </row>
    <row r="74" spans="1:8" x14ac:dyDescent="0.25">
      <c r="A74" s="31"/>
      <c r="B74" s="31"/>
      <c r="C74" s="31"/>
      <c r="D74" s="31"/>
      <c r="E74" s="32"/>
      <c r="F74" s="32"/>
      <c r="G74" s="32"/>
      <c r="H74" s="32"/>
    </row>
    <row r="75" spans="1:8" x14ac:dyDescent="0.25">
      <c r="A75" s="31"/>
      <c r="B75" s="31"/>
      <c r="C75" s="31"/>
      <c r="D75" s="31"/>
      <c r="E75" s="32"/>
      <c r="F75" s="32"/>
      <c r="G75" s="32"/>
      <c r="H75" s="32"/>
    </row>
    <row r="76" spans="1:8" x14ac:dyDescent="0.25">
      <c r="A76" s="31"/>
      <c r="B76" s="31"/>
      <c r="C76" s="31"/>
      <c r="D76" s="31"/>
      <c r="E76" s="32"/>
      <c r="F76" s="32"/>
      <c r="G76" s="32"/>
      <c r="H76" s="32"/>
    </row>
    <row r="77" spans="1:8" x14ac:dyDescent="0.25">
      <c r="A77" s="31"/>
      <c r="B77" s="31"/>
      <c r="C77" s="31"/>
      <c r="D77" s="31"/>
      <c r="E77" s="32"/>
      <c r="F77" s="32"/>
      <c r="G77" s="32"/>
      <c r="H77" s="32"/>
    </row>
    <row r="78" spans="1:8" x14ac:dyDescent="0.25">
      <c r="A78" s="31"/>
      <c r="B78" s="31"/>
      <c r="C78" s="31"/>
      <c r="D78" s="31"/>
      <c r="E78" s="32"/>
      <c r="F78" s="32"/>
      <c r="G78" s="32"/>
      <c r="H78" s="32"/>
    </row>
    <row r="79" spans="1:8" x14ac:dyDescent="0.25">
      <c r="A79" s="31"/>
      <c r="B79" s="31"/>
      <c r="C79" s="31"/>
      <c r="D79" s="31"/>
      <c r="E79" s="32"/>
      <c r="F79" s="32"/>
      <c r="G79" s="32"/>
      <c r="H79" s="32"/>
    </row>
    <row r="80" spans="1:8" x14ac:dyDescent="0.25">
      <c r="A80" s="31"/>
      <c r="B80" s="31"/>
      <c r="C80" s="31"/>
      <c r="D80" s="31"/>
      <c r="E80" s="32"/>
      <c r="F80" s="32"/>
      <c r="G80" s="32"/>
      <c r="H80" s="32"/>
    </row>
    <row r="81" spans="1:8" x14ac:dyDescent="0.25">
      <c r="A81" s="31"/>
      <c r="B81" s="31"/>
      <c r="C81" s="31"/>
      <c r="D81" s="31"/>
      <c r="E81" s="32"/>
      <c r="F81" s="32"/>
      <c r="G81" s="32"/>
      <c r="H81" s="32"/>
    </row>
    <row r="82" spans="1:8" x14ac:dyDescent="0.25">
      <c r="A82" s="31"/>
      <c r="B82" s="31"/>
      <c r="C82" s="31"/>
      <c r="D82" s="31"/>
      <c r="E82" s="32"/>
      <c r="F82" s="32"/>
      <c r="G82" s="32"/>
      <c r="H82" s="32"/>
    </row>
    <row r="83" spans="1:8" x14ac:dyDescent="0.25">
      <c r="A83" s="31"/>
      <c r="B83" s="31"/>
      <c r="C83" s="31"/>
      <c r="D83" s="31"/>
      <c r="E83" s="32"/>
      <c r="F83" s="32"/>
      <c r="G83" s="32"/>
      <c r="H83" s="32"/>
    </row>
    <row r="84" spans="1:8" x14ac:dyDescent="0.25">
      <c r="A84" s="31"/>
      <c r="B84" s="31"/>
      <c r="C84" s="31"/>
      <c r="D84" s="31"/>
      <c r="E84" s="32"/>
      <c r="F84" s="32"/>
      <c r="G84" s="32"/>
      <c r="H84" s="32"/>
    </row>
    <row r="85" spans="1:8" x14ac:dyDescent="0.25">
      <c r="A85" s="31"/>
      <c r="B85" s="31"/>
      <c r="C85" s="31"/>
      <c r="D85" s="31"/>
      <c r="E85" s="32"/>
      <c r="F85" s="32"/>
      <c r="G85" s="32"/>
      <c r="H85" s="32"/>
    </row>
    <row r="86" spans="1:8" x14ac:dyDescent="0.25">
      <c r="A86" s="31"/>
      <c r="B86" s="31"/>
      <c r="C86" s="31"/>
      <c r="D86" s="31"/>
      <c r="E86" s="32"/>
      <c r="F86" s="32"/>
      <c r="G86" s="32"/>
      <c r="H86" s="32"/>
    </row>
    <row r="87" spans="1:8" x14ac:dyDescent="0.25">
      <c r="A87" s="31"/>
      <c r="B87" s="31"/>
      <c r="C87" s="31"/>
      <c r="D87" s="31"/>
      <c r="E87" s="32"/>
      <c r="F87" s="32"/>
      <c r="G87" s="32"/>
      <c r="H87" s="32"/>
    </row>
    <row r="88" spans="1:8" x14ac:dyDescent="0.25">
      <c r="A88" s="31"/>
      <c r="B88" s="31"/>
      <c r="C88" s="31"/>
      <c r="D88" s="31"/>
      <c r="E88" s="32"/>
      <c r="F88" s="32"/>
      <c r="G88" s="32"/>
      <c r="H88" s="32"/>
    </row>
    <row r="89" spans="1:8" x14ac:dyDescent="0.25">
      <c r="A89" s="31"/>
      <c r="B89" s="31"/>
      <c r="C89" s="31"/>
      <c r="D89" s="31"/>
      <c r="E89" s="32"/>
      <c r="F89" s="32"/>
      <c r="G89" s="32"/>
      <c r="H89" s="32"/>
    </row>
    <row r="90" spans="1:8" x14ac:dyDescent="0.25">
      <c r="A90" s="31"/>
      <c r="B90" s="31"/>
      <c r="C90" s="31"/>
      <c r="D90" s="31"/>
      <c r="E90" s="32"/>
      <c r="F90" s="32"/>
      <c r="G90" s="32"/>
      <c r="H90" s="32"/>
    </row>
    <row r="91" spans="1:8" x14ac:dyDescent="0.25">
      <c r="A91" s="31"/>
      <c r="B91" s="31"/>
      <c r="C91" s="31"/>
      <c r="D91" s="31"/>
      <c r="E91" s="32"/>
      <c r="F91" s="32"/>
      <c r="G91" s="32"/>
      <c r="H91" s="32"/>
    </row>
    <row r="92" spans="1:8" x14ac:dyDescent="0.25">
      <c r="A92" s="31"/>
      <c r="B92" s="31"/>
      <c r="C92" s="31"/>
      <c r="D92" s="31"/>
      <c r="E92" s="32"/>
      <c r="F92" s="32"/>
      <c r="G92" s="32"/>
      <c r="H92" s="32"/>
    </row>
    <row r="93" spans="1:8" x14ac:dyDescent="0.25">
      <c r="A93" s="31"/>
      <c r="B93" s="31"/>
      <c r="C93" s="31"/>
      <c r="D93" s="31"/>
      <c r="E93" s="32"/>
      <c r="F93" s="32"/>
      <c r="G93" s="32"/>
      <c r="H93" s="32"/>
    </row>
    <row r="94" spans="1:8" x14ac:dyDescent="0.25">
      <c r="A94" s="31"/>
      <c r="B94" s="31"/>
      <c r="C94" s="31"/>
      <c r="D94" s="31"/>
      <c r="E94" s="32"/>
      <c r="F94" s="32"/>
      <c r="G94" s="32"/>
      <c r="H94" s="32"/>
    </row>
    <row r="95" spans="1:8" x14ac:dyDescent="0.25">
      <c r="A95" s="31"/>
      <c r="B95" s="31"/>
      <c r="C95" s="31"/>
      <c r="D95" s="31"/>
      <c r="E95" s="32"/>
      <c r="F95" s="32"/>
      <c r="G95" s="32"/>
      <c r="H95" s="32"/>
    </row>
    <row r="96" spans="1:8" x14ac:dyDescent="0.25">
      <c r="A96" s="31"/>
      <c r="B96" s="31"/>
      <c r="C96" s="31"/>
      <c r="D96" s="31"/>
      <c r="E96" s="32"/>
      <c r="F96" s="32"/>
      <c r="G96" s="32"/>
      <c r="H96" s="32"/>
    </row>
    <row r="97" spans="1:8" x14ac:dyDescent="0.25">
      <c r="A97" s="31"/>
      <c r="B97" s="31"/>
      <c r="C97" s="31"/>
      <c r="D97" s="31"/>
      <c r="E97" s="32"/>
      <c r="F97" s="32"/>
      <c r="G97" s="32"/>
      <c r="H97" s="32"/>
    </row>
    <row r="98" spans="1:8" x14ac:dyDescent="0.25">
      <c r="A98" s="31"/>
      <c r="B98" s="31"/>
      <c r="C98" s="31"/>
      <c r="D98" s="31"/>
      <c r="E98" s="32"/>
      <c r="F98" s="32"/>
      <c r="G98" s="32"/>
      <c r="H98" s="32"/>
    </row>
    <row r="99" spans="1:8" x14ac:dyDescent="0.25">
      <c r="A99" s="31"/>
      <c r="B99" s="31"/>
      <c r="C99" s="31"/>
      <c r="D99" s="31"/>
      <c r="E99" s="32"/>
      <c r="F99" s="32"/>
      <c r="G99" s="32"/>
      <c r="H99" s="32"/>
    </row>
    <row r="100" spans="1:8" x14ac:dyDescent="0.25">
      <c r="A100" s="31"/>
      <c r="B100" s="31"/>
      <c r="C100" s="31"/>
      <c r="D100" s="31"/>
      <c r="E100" s="32"/>
      <c r="F100" s="32"/>
      <c r="G100" s="32"/>
      <c r="H100" s="32"/>
    </row>
    <row r="101" spans="1:8" x14ac:dyDescent="0.25">
      <c r="A101" s="31"/>
      <c r="B101" s="31"/>
      <c r="C101" s="31"/>
      <c r="D101" s="31"/>
      <c r="E101" s="32"/>
      <c r="F101" s="32"/>
      <c r="G101" s="32"/>
      <c r="H101" s="32"/>
    </row>
    <row r="102" spans="1:8" x14ac:dyDescent="0.25">
      <c r="A102" s="31"/>
      <c r="B102" s="31"/>
      <c r="C102" s="31"/>
      <c r="D102" s="31"/>
      <c r="E102" s="32"/>
      <c r="F102" s="32"/>
      <c r="G102" s="32"/>
      <c r="H102" s="32"/>
    </row>
    <row r="103" spans="1:8" x14ac:dyDescent="0.25">
      <c r="A103" s="31"/>
      <c r="B103" s="31"/>
      <c r="C103" s="31"/>
      <c r="D103" s="31"/>
      <c r="E103" s="32"/>
      <c r="F103" s="32"/>
      <c r="G103" s="32"/>
      <c r="H103" s="32"/>
    </row>
    <row r="104" spans="1:8" x14ac:dyDescent="0.25">
      <c r="A104" s="31"/>
      <c r="B104" s="31"/>
      <c r="C104" s="31"/>
      <c r="D104" s="31"/>
      <c r="E104" s="32"/>
      <c r="F104" s="32"/>
      <c r="G104" s="32"/>
      <c r="H104" s="32"/>
    </row>
    <row r="105" spans="1:8" x14ac:dyDescent="0.25">
      <c r="A105" s="31"/>
      <c r="B105" s="31"/>
      <c r="C105" s="31"/>
      <c r="D105" s="31"/>
      <c r="E105" s="32"/>
      <c r="F105" s="32"/>
      <c r="G105" s="32"/>
      <c r="H105" s="32"/>
    </row>
    <row r="106" spans="1:8" x14ac:dyDescent="0.25">
      <c r="A106" s="31"/>
      <c r="B106" s="31"/>
      <c r="C106" s="31"/>
      <c r="D106" s="31"/>
      <c r="E106" s="32"/>
      <c r="F106" s="32"/>
      <c r="G106" s="32"/>
      <c r="H106" s="32"/>
    </row>
    <row r="107" spans="1:8" x14ac:dyDescent="0.25">
      <c r="A107" s="31"/>
      <c r="B107" s="31"/>
      <c r="C107" s="31"/>
      <c r="D107" s="31"/>
      <c r="E107" s="32"/>
      <c r="F107" s="32"/>
      <c r="G107" s="32"/>
      <c r="H107" s="32"/>
    </row>
    <row r="108" spans="1:8" x14ac:dyDescent="0.25">
      <c r="A108" s="31"/>
      <c r="B108" s="31"/>
      <c r="C108" s="31"/>
      <c r="D108" s="31"/>
      <c r="E108" s="32"/>
      <c r="F108" s="32"/>
      <c r="G108" s="32"/>
      <c r="H108" s="32"/>
    </row>
    <row r="109" spans="1:8" x14ac:dyDescent="0.25">
      <c r="A109" s="31"/>
      <c r="B109" s="31"/>
      <c r="C109" s="31"/>
      <c r="D109" s="31"/>
      <c r="E109" s="32"/>
      <c r="F109" s="32"/>
      <c r="G109" s="32"/>
      <c r="H109" s="32"/>
    </row>
    <row r="110" spans="1:8" x14ac:dyDescent="0.25">
      <c r="A110" s="31"/>
      <c r="B110" s="31"/>
      <c r="C110" s="31"/>
      <c r="D110" s="31"/>
      <c r="E110" s="32"/>
      <c r="F110" s="32"/>
      <c r="G110" s="32"/>
      <c r="H110" s="32"/>
    </row>
    <row r="111" spans="1:8" x14ac:dyDescent="0.25">
      <c r="A111" s="31"/>
      <c r="B111" s="31"/>
      <c r="C111" s="31"/>
      <c r="D111" s="31"/>
      <c r="E111" s="32"/>
      <c r="F111" s="32"/>
      <c r="G111" s="32"/>
      <c r="H111" s="32"/>
    </row>
    <row r="112" spans="1:8" x14ac:dyDescent="0.25">
      <c r="A112" s="31"/>
      <c r="B112" s="31"/>
      <c r="C112" s="31"/>
      <c r="D112" s="31"/>
      <c r="E112" s="32"/>
      <c r="F112" s="32"/>
      <c r="G112" s="32"/>
      <c r="H112" s="32"/>
    </row>
    <row r="113" spans="1:8" x14ac:dyDescent="0.25">
      <c r="A113" s="31"/>
      <c r="B113" s="31"/>
      <c r="C113" s="31"/>
      <c r="D113" s="31"/>
      <c r="E113" s="32"/>
      <c r="F113" s="32"/>
      <c r="G113" s="32"/>
      <c r="H113" s="32"/>
    </row>
    <row r="114" spans="1:8" x14ac:dyDescent="0.25">
      <c r="A114" s="31"/>
      <c r="B114" s="31"/>
      <c r="C114" s="31"/>
      <c r="D114" s="31"/>
      <c r="E114" s="32"/>
      <c r="F114" s="32"/>
      <c r="G114" s="32"/>
      <c r="H114" s="32"/>
    </row>
    <row r="115" spans="1:8" x14ac:dyDescent="0.25">
      <c r="A115" s="31"/>
      <c r="B115" s="31"/>
      <c r="C115" s="31"/>
      <c r="D115" s="31"/>
      <c r="E115" s="32"/>
      <c r="F115" s="32"/>
      <c r="G115" s="32"/>
      <c r="H115" s="32"/>
    </row>
    <row r="116" spans="1:8" x14ac:dyDescent="0.25">
      <c r="A116" s="31"/>
      <c r="B116" s="31"/>
      <c r="C116" s="31"/>
      <c r="D116" s="31"/>
      <c r="E116" s="32"/>
      <c r="F116" s="32"/>
      <c r="G116" s="32"/>
      <c r="H116" s="32"/>
    </row>
    <row r="117" spans="1:8" x14ac:dyDescent="0.25">
      <c r="A117" s="31"/>
      <c r="B117" s="31"/>
      <c r="C117" s="31"/>
      <c r="D117" s="31"/>
      <c r="E117" s="32"/>
      <c r="F117" s="32"/>
      <c r="G117" s="32"/>
      <c r="H117" s="32"/>
    </row>
    <row r="118" spans="1:8" x14ac:dyDescent="0.25">
      <c r="A118" s="31"/>
      <c r="B118" s="31"/>
      <c r="C118" s="31"/>
      <c r="D118" s="31"/>
      <c r="E118" s="32"/>
      <c r="F118" s="32"/>
      <c r="G118" s="32"/>
      <c r="H118" s="32"/>
    </row>
    <row r="119" spans="1:8" x14ac:dyDescent="0.25">
      <c r="A119" s="31"/>
      <c r="B119" s="31"/>
      <c r="C119" s="31"/>
      <c r="D119" s="31"/>
      <c r="E119" s="32"/>
      <c r="F119" s="32"/>
      <c r="G119" s="32"/>
      <c r="H119" s="32"/>
    </row>
    <row r="120" spans="1:8" x14ac:dyDescent="0.25">
      <c r="A120" s="31"/>
      <c r="B120" s="31"/>
      <c r="C120" s="31"/>
      <c r="D120" s="31"/>
      <c r="E120" s="32"/>
      <c r="F120" s="32"/>
      <c r="G120" s="32"/>
      <c r="H120" s="32"/>
    </row>
    <row r="121" spans="1:8" x14ac:dyDescent="0.25">
      <c r="A121" s="31"/>
      <c r="B121" s="31"/>
      <c r="C121" s="31"/>
      <c r="D121" s="31"/>
      <c r="E121" s="32"/>
      <c r="F121" s="32"/>
      <c r="G121" s="32"/>
      <c r="H121" s="32"/>
    </row>
    <row r="122" spans="1:8" x14ac:dyDescent="0.25">
      <c r="A122" s="31"/>
      <c r="B122" s="31"/>
      <c r="C122" s="31"/>
      <c r="D122" s="31"/>
      <c r="E122" s="32"/>
      <c r="F122" s="32"/>
      <c r="G122" s="32"/>
      <c r="H122" s="32"/>
    </row>
    <row r="123" spans="1:8" x14ac:dyDescent="0.25">
      <c r="A123" s="31"/>
      <c r="B123" s="31"/>
      <c r="C123" s="31"/>
      <c r="D123" s="31"/>
      <c r="E123" s="32"/>
      <c r="F123" s="32"/>
      <c r="G123" s="32"/>
      <c r="H123" s="32"/>
    </row>
    <row r="124" spans="1:8" x14ac:dyDescent="0.25">
      <c r="A124" s="31"/>
      <c r="B124" s="31"/>
      <c r="C124" s="31"/>
      <c r="D124" s="31"/>
      <c r="E124" s="32"/>
      <c r="F124" s="32"/>
      <c r="G124" s="32"/>
      <c r="H124" s="32"/>
    </row>
    <row r="125" spans="1:8" x14ac:dyDescent="0.25">
      <c r="A125" s="31"/>
      <c r="B125" s="31"/>
      <c r="C125" s="31"/>
      <c r="D125" s="31"/>
      <c r="E125" s="32"/>
      <c r="F125" s="32"/>
      <c r="G125" s="32"/>
      <c r="H125" s="32"/>
    </row>
    <row r="126" spans="1:8" x14ac:dyDescent="0.25">
      <c r="A126" s="31"/>
      <c r="B126" s="31"/>
      <c r="C126" s="31"/>
      <c r="D126" s="31"/>
      <c r="E126" s="32"/>
      <c r="F126" s="32"/>
      <c r="G126" s="32"/>
      <c r="H126" s="32"/>
    </row>
    <row r="127" spans="1:8" x14ac:dyDescent="0.25">
      <c r="A127" s="31"/>
      <c r="B127" s="31"/>
      <c r="C127" s="31"/>
      <c r="D127" s="31"/>
      <c r="E127" s="32"/>
      <c r="F127" s="32"/>
      <c r="G127" s="32"/>
      <c r="H127" s="32"/>
    </row>
    <row r="128" spans="1:8" x14ac:dyDescent="0.25">
      <c r="A128" s="31"/>
      <c r="B128" s="31"/>
      <c r="C128" s="31"/>
      <c r="D128" s="31"/>
      <c r="E128" s="32"/>
      <c r="F128" s="32"/>
      <c r="G128" s="32"/>
      <c r="H128" s="32"/>
    </row>
    <row r="129" spans="1:8" x14ac:dyDescent="0.25">
      <c r="A129" s="31"/>
      <c r="B129" s="31"/>
      <c r="C129" s="31"/>
      <c r="D129" s="31"/>
      <c r="E129" s="32"/>
      <c r="F129" s="32"/>
      <c r="G129" s="32"/>
      <c r="H129" s="32"/>
    </row>
    <row r="130" spans="1:8" x14ac:dyDescent="0.25">
      <c r="A130" s="31"/>
      <c r="B130" s="31"/>
      <c r="C130" s="31"/>
      <c r="D130" s="31"/>
      <c r="E130" s="32"/>
      <c r="F130" s="32"/>
      <c r="G130" s="32"/>
      <c r="H130" s="32"/>
    </row>
    <row r="131" spans="1:8" x14ac:dyDescent="0.25">
      <c r="A131" s="31"/>
      <c r="B131" s="31"/>
      <c r="C131" s="31"/>
      <c r="D131" s="31"/>
      <c r="E131" s="32"/>
      <c r="F131" s="32"/>
      <c r="G131" s="32"/>
      <c r="H131" s="32"/>
    </row>
    <row r="132" spans="1:8" x14ac:dyDescent="0.25">
      <c r="A132" s="31"/>
      <c r="B132" s="31"/>
      <c r="C132" s="31"/>
      <c r="D132" s="31"/>
      <c r="E132" s="32"/>
      <c r="F132" s="32"/>
      <c r="G132" s="32"/>
      <c r="H132" s="32"/>
    </row>
    <row r="133" spans="1:8" x14ac:dyDescent="0.25">
      <c r="A133" s="31"/>
      <c r="B133" s="31"/>
      <c r="C133" s="31"/>
      <c r="D133" s="31"/>
      <c r="E133" s="32"/>
      <c r="F133" s="32"/>
      <c r="G133" s="32"/>
      <c r="H133" s="32"/>
    </row>
    <row r="134" spans="1:8" x14ac:dyDescent="0.25">
      <c r="A134" s="31"/>
      <c r="B134" s="31"/>
      <c r="C134" s="31"/>
      <c r="D134" s="31"/>
      <c r="E134" s="32"/>
      <c r="F134" s="32"/>
      <c r="G134" s="32"/>
      <c r="H134" s="32"/>
    </row>
    <row r="135" spans="1:8" x14ac:dyDescent="0.25">
      <c r="A135" s="31"/>
      <c r="B135" s="31"/>
      <c r="C135" s="31"/>
      <c r="D135" s="31"/>
      <c r="E135" s="32"/>
      <c r="F135" s="32"/>
      <c r="G135" s="32"/>
      <c r="H135" s="32"/>
    </row>
    <row r="136" spans="1:8" x14ac:dyDescent="0.25">
      <c r="A136" s="31"/>
      <c r="B136" s="31"/>
      <c r="C136" s="31"/>
      <c r="D136" s="31"/>
      <c r="E136" s="32"/>
      <c r="F136" s="32"/>
      <c r="G136" s="32"/>
      <c r="H136" s="32"/>
    </row>
    <row r="137" spans="1:8" x14ac:dyDescent="0.25">
      <c r="A137" s="31"/>
      <c r="B137" s="31"/>
      <c r="C137" s="31"/>
      <c r="D137" s="31"/>
      <c r="E137" s="32"/>
      <c r="F137" s="32"/>
      <c r="G137" s="32"/>
      <c r="H137" s="32"/>
    </row>
    <row r="138" spans="1:8" x14ac:dyDescent="0.25">
      <c r="A138" s="31"/>
      <c r="B138" s="31"/>
      <c r="C138" s="31"/>
      <c r="D138" s="31"/>
      <c r="E138" s="32"/>
      <c r="F138" s="32"/>
      <c r="G138" s="32"/>
      <c r="H138" s="32"/>
    </row>
    <row r="139" spans="1:8" x14ac:dyDescent="0.25">
      <c r="A139" s="31"/>
      <c r="B139" s="31"/>
      <c r="C139" s="31"/>
      <c r="D139" s="31"/>
      <c r="E139" s="32"/>
      <c r="F139" s="32"/>
      <c r="G139" s="32"/>
      <c r="H139" s="32"/>
    </row>
    <row r="140" spans="1:8" x14ac:dyDescent="0.25">
      <c r="A140" s="31"/>
      <c r="B140" s="31"/>
      <c r="C140" s="31"/>
      <c r="D140" s="31"/>
      <c r="E140" s="32"/>
      <c r="F140" s="32"/>
      <c r="G140" s="32"/>
      <c r="H140" s="32"/>
    </row>
    <row r="141" spans="1:8" x14ac:dyDescent="0.25">
      <c r="A141" s="31"/>
      <c r="B141" s="31"/>
      <c r="C141" s="31"/>
      <c r="D141" s="31"/>
      <c r="E141" s="32"/>
      <c r="F141" s="32"/>
      <c r="G141" s="32"/>
      <c r="H141" s="32"/>
    </row>
    <row r="142" spans="1:8" x14ac:dyDescent="0.25">
      <c r="A142" s="31"/>
      <c r="B142" s="31"/>
      <c r="C142" s="31"/>
      <c r="D142" s="31"/>
      <c r="E142" s="32"/>
      <c r="F142" s="32"/>
      <c r="G142" s="32"/>
      <c r="H142" s="32"/>
    </row>
    <row r="143" spans="1:8" x14ac:dyDescent="0.25">
      <c r="A143" s="31"/>
      <c r="B143" s="31"/>
      <c r="C143" s="31"/>
      <c r="D143" s="31"/>
      <c r="E143" s="32"/>
      <c r="F143" s="32"/>
      <c r="G143" s="32"/>
      <c r="H143" s="32"/>
    </row>
    <row r="144" spans="1:8" x14ac:dyDescent="0.25">
      <c r="A144" s="31"/>
      <c r="B144" s="31"/>
      <c r="C144" s="31"/>
      <c r="D144" s="31"/>
      <c r="E144" s="32"/>
      <c r="F144" s="32"/>
      <c r="G144" s="32"/>
      <c r="H144" s="32"/>
    </row>
    <row r="145" spans="1:8" x14ac:dyDescent="0.25">
      <c r="A145" s="31"/>
      <c r="B145" s="31"/>
      <c r="C145" s="31"/>
      <c r="D145" s="31"/>
      <c r="E145" s="32"/>
      <c r="F145" s="32"/>
      <c r="G145" s="32"/>
      <c r="H145" s="32"/>
    </row>
    <row r="146" spans="1:8" x14ac:dyDescent="0.25">
      <c r="A146" s="31"/>
      <c r="B146" s="31"/>
      <c r="C146" s="31"/>
      <c r="D146" s="31"/>
      <c r="E146" s="32"/>
      <c r="F146" s="32"/>
      <c r="G146" s="32"/>
      <c r="H146" s="32"/>
    </row>
    <row r="147" spans="1:8" x14ac:dyDescent="0.25">
      <c r="A147" s="31"/>
      <c r="B147" s="31"/>
      <c r="C147" s="31"/>
      <c r="D147" s="31"/>
      <c r="E147" s="32"/>
      <c r="F147" s="32"/>
      <c r="G147" s="32"/>
      <c r="H147" s="32"/>
    </row>
    <row r="148" spans="1:8" x14ac:dyDescent="0.25">
      <c r="A148" s="31"/>
      <c r="B148" s="31"/>
      <c r="C148" s="31"/>
      <c r="D148" s="31"/>
      <c r="E148" s="32"/>
      <c r="F148" s="32"/>
      <c r="G148" s="32"/>
      <c r="H148" s="32"/>
    </row>
    <row r="149" spans="1:8" x14ac:dyDescent="0.25">
      <c r="A149" s="31"/>
      <c r="B149" s="31"/>
      <c r="C149" s="31"/>
      <c r="D149" s="31"/>
      <c r="E149" s="32"/>
      <c r="F149" s="32"/>
      <c r="G149" s="32"/>
      <c r="H149" s="32"/>
    </row>
    <row r="150" spans="1:8" x14ac:dyDescent="0.25">
      <c r="A150" s="31"/>
      <c r="B150" s="31"/>
      <c r="C150" s="31"/>
      <c r="D150" s="31"/>
      <c r="E150" s="32"/>
      <c r="F150" s="32"/>
      <c r="G150" s="32"/>
      <c r="H150" s="32"/>
    </row>
    <row r="151" spans="1:8" x14ac:dyDescent="0.25">
      <c r="A151" s="31"/>
      <c r="B151" s="31"/>
      <c r="C151" s="31"/>
      <c r="D151" s="31"/>
      <c r="E151" s="32"/>
      <c r="F151" s="32"/>
      <c r="G151" s="32"/>
      <c r="H151" s="32"/>
    </row>
    <row r="152" spans="1:8" x14ac:dyDescent="0.25">
      <c r="A152" s="31"/>
      <c r="B152" s="31"/>
      <c r="C152" s="31"/>
      <c r="D152" s="31"/>
      <c r="E152" s="32"/>
      <c r="F152" s="32"/>
      <c r="G152" s="32"/>
      <c r="H152" s="32"/>
    </row>
    <row r="153" spans="1:8" x14ac:dyDescent="0.25">
      <c r="A153" s="31"/>
      <c r="B153" s="31"/>
      <c r="C153" s="31"/>
      <c r="D153" s="31"/>
      <c r="E153" s="32"/>
      <c r="F153" s="32"/>
      <c r="G153" s="32"/>
      <c r="H153" s="32"/>
    </row>
    <row r="154" spans="1:8" x14ac:dyDescent="0.25">
      <c r="A154" s="31"/>
      <c r="B154" s="31"/>
      <c r="C154" s="31"/>
      <c r="D154" s="31"/>
      <c r="E154" s="32"/>
      <c r="F154" s="32"/>
      <c r="G154" s="32"/>
      <c r="H154" s="32"/>
    </row>
    <row r="155" spans="1:8" x14ac:dyDescent="0.25">
      <c r="A155" s="31"/>
      <c r="B155" s="31"/>
      <c r="C155" s="31"/>
      <c r="D155" s="31"/>
      <c r="E155" s="32"/>
      <c r="F155" s="32"/>
      <c r="G155" s="32"/>
      <c r="H155" s="32"/>
    </row>
    <row r="156" spans="1:8" x14ac:dyDescent="0.25">
      <c r="A156" s="31"/>
      <c r="B156" s="31"/>
      <c r="C156" s="31"/>
      <c r="D156" s="31"/>
      <c r="E156" s="32"/>
      <c r="F156" s="32"/>
      <c r="G156" s="32"/>
      <c r="H156" s="32"/>
    </row>
    <row r="157" spans="1:8" x14ac:dyDescent="0.25">
      <c r="A157" s="31"/>
      <c r="B157" s="31"/>
      <c r="C157" s="31"/>
      <c r="D157" s="31"/>
      <c r="E157" s="32"/>
      <c r="F157" s="32"/>
      <c r="G157" s="32"/>
      <c r="H157" s="32"/>
    </row>
    <row r="158" spans="1:8" x14ac:dyDescent="0.25">
      <c r="A158" s="31"/>
      <c r="B158" s="31"/>
      <c r="C158" s="31"/>
      <c r="D158" s="31"/>
      <c r="E158" s="32"/>
      <c r="F158" s="32"/>
      <c r="G158" s="32"/>
      <c r="H158" s="32"/>
    </row>
    <row r="159" spans="1:8" x14ac:dyDescent="0.25">
      <c r="A159" s="31"/>
      <c r="B159" s="31"/>
      <c r="C159" s="31"/>
      <c r="D159" s="31"/>
      <c r="E159" s="32"/>
      <c r="F159" s="32"/>
      <c r="G159" s="32"/>
      <c r="H159" s="32"/>
    </row>
    <row r="160" spans="1:8" x14ac:dyDescent="0.25">
      <c r="A160" s="31"/>
      <c r="B160" s="31"/>
      <c r="C160" s="31"/>
      <c r="D160" s="31"/>
      <c r="E160" s="32"/>
      <c r="F160" s="32"/>
      <c r="G160" s="32"/>
      <c r="H160" s="32"/>
    </row>
    <row r="161" spans="1:8" x14ac:dyDescent="0.25">
      <c r="A161" s="31"/>
      <c r="B161" s="31"/>
      <c r="C161" s="31"/>
      <c r="D161" s="31"/>
      <c r="E161" s="32"/>
      <c r="F161" s="32"/>
      <c r="G161" s="32"/>
      <c r="H161" s="32"/>
    </row>
    <row r="162" spans="1:8" x14ac:dyDescent="0.25">
      <c r="A162" s="31"/>
      <c r="B162" s="31"/>
      <c r="C162" s="31"/>
      <c r="D162" s="31"/>
      <c r="E162" s="32"/>
      <c r="F162" s="32"/>
      <c r="G162" s="32"/>
      <c r="H162" s="32"/>
    </row>
    <row r="163" spans="1:8" x14ac:dyDescent="0.25">
      <c r="A163" s="31"/>
      <c r="B163" s="31"/>
      <c r="C163" s="31"/>
      <c r="D163" s="31"/>
      <c r="E163" s="32"/>
      <c r="F163" s="32"/>
      <c r="G163" s="32"/>
      <c r="H163" s="32"/>
    </row>
    <row r="164" spans="1:8" x14ac:dyDescent="0.25">
      <c r="A164" s="31"/>
      <c r="B164" s="31"/>
      <c r="C164" s="31"/>
      <c r="D164" s="31"/>
      <c r="E164" s="32"/>
      <c r="F164" s="32"/>
      <c r="G164" s="32"/>
      <c r="H164" s="32"/>
    </row>
    <row r="165" spans="1:8" x14ac:dyDescent="0.25">
      <c r="A165" s="31"/>
      <c r="B165" s="31"/>
      <c r="C165" s="31"/>
      <c r="D165" s="31"/>
      <c r="E165" s="32"/>
      <c r="F165" s="32"/>
      <c r="G165" s="32"/>
      <c r="H165" s="32"/>
    </row>
    <row r="166" spans="1:8" x14ac:dyDescent="0.25">
      <c r="A166" s="31"/>
      <c r="B166" s="31"/>
      <c r="C166" s="31"/>
      <c r="D166" s="31"/>
      <c r="E166" s="32"/>
      <c r="F166" s="32"/>
      <c r="G166" s="32"/>
      <c r="H166" s="32"/>
    </row>
    <row r="167" spans="1:8" x14ac:dyDescent="0.25">
      <c r="A167" s="31"/>
      <c r="B167" s="31"/>
      <c r="C167" s="31"/>
      <c r="D167" s="31"/>
      <c r="E167" s="32"/>
      <c r="F167" s="32"/>
      <c r="G167" s="32"/>
      <c r="H167" s="32"/>
    </row>
    <row r="168" spans="1:8" x14ac:dyDescent="0.25">
      <c r="A168" s="31"/>
      <c r="B168" s="31"/>
      <c r="C168" s="31"/>
      <c r="D168" s="31"/>
      <c r="E168" s="32"/>
      <c r="F168" s="32"/>
      <c r="G168" s="32"/>
      <c r="H168" s="32"/>
    </row>
    <row r="169" spans="1:8" x14ac:dyDescent="0.25">
      <c r="A169" s="31"/>
      <c r="B169" s="31"/>
      <c r="C169" s="31"/>
      <c r="D169" s="31"/>
      <c r="E169" s="32"/>
      <c r="F169" s="32"/>
      <c r="G169" s="32"/>
      <c r="H169" s="32"/>
    </row>
    <row r="170" spans="1:8" x14ac:dyDescent="0.25">
      <c r="A170" s="31"/>
      <c r="B170" s="31"/>
      <c r="C170" s="31"/>
      <c r="D170" s="31"/>
      <c r="E170" s="32"/>
      <c r="F170" s="32"/>
      <c r="G170" s="32"/>
      <c r="H170" s="32"/>
    </row>
    <row r="171" spans="1:8" x14ac:dyDescent="0.25">
      <c r="A171" s="31"/>
      <c r="B171" s="31"/>
      <c r="C171" s="31"/>
      <c r="D171" s="31"/>
      <c r="E171" s="32"/>
      <c r="F171" s="32"/>
      <c r="G171" s="32"/>
      <c r="H171" s="32"/>
    </row>
    <row r="172" spans="1:8" x14ac:dyDescent="0.25">
      <c r="A172" s="31"/>
      <c r="B172" s="31"/>
      <c r="C172" s="31"/>
      <c r="D172" s="31"/>
      <c r="E172" s="32"/>
      <c r="F172" s="32"/>
      <c r="G172" s="32"/>
      <c r="H172" s="32"/>
    </row>
    <row r="173" spans="1:8" x14ac:dyDescent="0.25">
      <c r="A173" s="31"/>
      <c r="B173" s="31"/>
      <c r="C173" s="31"/>
      <c r="D173" s="31"/>
      <c r="E173" s="32"/>
      <c r="F173" s="32"/>
      <c r="G173" s="32"/>
      <c r="H173" s="32"/>
    </row>
    <row r="174" spans="1:8" x14ac:dyDescent="0.25">
      <c r="A174" s="31"/>
      <c r="B174" s="31"/>
      <c r="C174" s="31"/>
      <c r="D174" s="31"/>
      <c r="E174" s="32"/>
      <c r="F174" s="32"/>
      <c r="G174" s="32"/>
      <c r="H174" s="32"/>
    </row>
    <row r="175" spans="1:8" x14ac:dyDescent="0.25">
      <c r="A175" s="31"/>
      <c r="B175" s="31"/>
      <c r="C175" s="31"/>
      <c r="D175" s="31"/>
      <c r="E175" s="32"/>
      <c r="F175" s="32"/>
      <c r="G175" s="32"/>
      <c r="H175" s="32"/>
    </row>
    <row r="176" spans="1:8" x14ac:dyDescent="0.25">
      <c r="A176" s="31"/>
      <c r="B176" s="31"/>
      <c r="C176" s="31"/>
      <c r="D176" s="31"/>
      <c r="E176" s="32"/>
      <c r="F176" s="32"/>
      <c r="G176" s="32"/>
      <c r="H176" s="32"/>
    </row>
    <row r="177" spans="1:8" x14ac:dyDescent="0.25">
      <c r="A177" s="31"/>
      <c r="B177" s="31"/>
      <c r="C177" s="31"/>
      <c r="D177" s="31"/>
      <c r="E177" s="32"/>
      <c r="F177" s="32"/>
      <c r="G177" s="32"/>
      <c r="H177" s="32"/>
    </row>
    <row r="178" spans="1:8" x14ac:dyDescent="0.25">
      <c r="A178" s="31"/>
      <c r="B178" s="31"/>
      <c r="C178" s="31"/>
      <c r="D178" s="31"/>
      <c r="E178" s="32"/>
      <c r="F178" s="32"/>
      <c r="G178" s="32"/>
      <c r="H178" s="32"/>
    </row>
    <row r="179" spans="1:8" x14ac:dyDescent="0.25">
      <c r="A179" s="31"/>
      <c r="B179" s="31"/>
      <c r="C179" s="31"/>
      <c r="D179" s="31"/>
      <c r="E179" s="32"/>
      <c r="F179" s="32"/>
      <c r="G179" s="32"/>
      <c r="H179" s="32"/>
    </row>
    <row r="180" spans="1:8" x14ac:dyDescent="0.25">
      <c r="A180" s="31"/>
      <c r="B180" s="31"/>
      <c r="C180" s="31"/>
      <c r="D180" s="31"/>
      <c r="E180" s="32"/>
      <c r="F180" s="32"/>
      <c r="G180" s="32"/>
      <c r="H180" s="32"/>
    </row>
    <row r="181" spans="1:8" x14ac:dyDescent="0.25">
      <c r="A181" s="31"/>
      <c r="B181" s="31"/>
      <c r="C181" s="31"/>
      <c r="D181" s="31"/>
      <c r="E181" s="32"/>
      <c r="F181" s="32"/>
      <c r="G181" s="32"/>
      <c r="H181" s="32"/>
    </row>
    <row r="182" spans="1:8" x14ac:dyDescent="0.25">
      <c r="A182" s="31"/>
      <c r="B182" s="31"/>
      <c r="C182" s="31"/>
      <c r="D182" s="31"/>
      <c r="E182" s="32"/>
      <c r="F182" s="32"/>
      <c r="G182" s="32"/>
      <c r="H182" s="32"/>
    </row>
    <row r="183" spans="1:8" x14ac:dyDescent="0.25">
      <c r="A183" s="31"/>
      <c r="B183" s="31"/>
      <c r="C183" s="31"/>
      <c r="D183" s="31"/>
      <c r="E183" s="32"/>
      <c r="F183" s="32"/>
      <c r="G183" s="32"/>
      <c r="H183" s="32"/>
    </row>
    <row r="184" spans="1:8" x14ac:dyDescent="0.25">
      <c r="A184" s="31"/>
      <c r="B184" s="31"/>
      <c r="C184" s="31"/>
      <c r="D184" s="31"/>
      <c r="E184" s="32"/>
      <c r="F184" s="32"/>
      <c r="G184" s="32"/>
      <c r="H184" s="32"/>
    </row>
    <row r="185" spans="1:8" x14ac:dyDescent="0.25">
      <c r="A185" s="31"/>
      <c r="B185" s="31"/>
      <c r="C185" s="31"/>
      <c r="D185" s="31"/>
      <c r="E185" s="32"/>
      <c r="F185" s="32"/>
      <c r="G185" s="32"/>
      <c r="H185" s="32"/>
    </row>
    <row r="186" spans="1:8" x14ac:dyDescent="0.25">
      <c r="A186" s="31"/>
      <c r="B186" s="31"/>
      <c r="C186" s="31"/>
      <c r="D186" s="31"/>
      <c r="E186" s="32"/>
      <c r="F186" s="32"/>
      <c r="G186" s="32"/>
      <c r="H186" s="32"/>
    </row>
    <row r="187" spans="1:8" x14ac:dyDescent="0.25">
      <c r="A187" s="31"/>
      <c r="B187" s="31"/>
      <c r="C187" s="31"/>
      <c r="D187" s="31"/>
      <c r="E187" s="32"/>
      <c r="F187" s="32"/>
      <c r="G187" s="32"/>
      <c r="H187" s="32"/>
    </row>
    <row r="188" spans="1:8" x14ac:dyDescent="0.25">
      <c r="A188" s="31"/>
      <c r="B188" s="31"/>
      <c r="C188" s="31"/>
      <c r="D188" s="31"/>
      <c r="E188" s="32"/>
      <c r="F188" s="32"/>
      <c r="G188" s="32"/>
      <c r="H188" s="32"/>
    </row>
    <row r="189" spans="1:8" x14ac:dyDescent="0.25">
      <c r="A189" s="31"/>
      <c r="B189" s="31"/>
      <c r="C189" s="31"/>
      <c r="D189" s="31"/>
      <c r="E189" s="32"/>
      <c r="F189" s="32"/>
      <c r="G189" s="32"/>
      <c r="H189" s="32"/>
    </row>
    <row r="190" spans="1:8" x14ac:dyDescent="0.25">
      <c r="A190" s="31"/>
      <c r="B190" s="31"/>
      <c r="C190" s="31"/>
      <c r="D190" s="31"/>
      <c r="E190" s="32"/>
      <c r="F190" s="32"/>
      <c r="G190" s="32"/>
      <c r="H190" s="32"/>
    </row>
    <row r="191" spans="1:8" x14ac:dyDescent="0.25">
      <c r="A191" s="31"/>
      <c r="B191" s="31"/>
      <c r="C191" s="31"/>
      <c r="D191" s="31"/>
      <c r="E191" s="32"/>
      <c r="F191" s="32"/>
      <c r="G191" s="32"/>
      <c r="H191" s="32"/>
    </row>
    <row r="192" spans="1:8" x14ac:dyDescent="0.25">
      <c r="A192" s="31"/>
      <c r="B192" s="31"/>
      <c r="C192" s="31"/>
      <c r="D192" s="31"/>
      <c r="E192" s="32"/>
      <c r="F192" s="32"/>
      <c r="G192" s="32"/>
      <c r="H192" s="32"/>
    </row>
    <row r="193" spans="1:8" x14ac:dyDescent="0.25">
      <c r="A193" s="31"/>
      <c r="B193" s="31"/>
      <c r="C193" s="31"/>
      <c r="D193" s="31"/>
      <c r="E193" s="32"/>
      <c r="F193" s="32"/>
      <c r="G193" s="32"/>
      <c r="H193" s="32"/>
    </row>
    <row r="194" spans="1:8" x14ac:dyDescent="0.25">
      <c r="A194" s="31"/>
      <c r="B194" s="31"/>
      <c r="C194" s="31"/>
      <c r="D194" s="31"/>
      <c r="E194" s="32"/>
      <c r="F194" s="32"/>
      <c r="G194" s="32"/>
      <c r="H194" s="32"/>
    </row>
    <row r="195" spans="1:8" x14ac:dyDescent="0.25">
      <c r="A195" s="31"/>
      <c r="B195" s="31"/>
      <c r="C195" s="31"/>
      <c r="D195" s="31"/>
      <c r="E195" s="32"/>
      <c r="F195" s="32"/>
      <c r="G195" s="32"/>
      <c r="H195" s="32"/>
    </row>
    <row r="196" spans="1:8" x14ac:dyDescent="0.25">
      <c r="A196" s="31"/>
      <c r="B196" s="31"/>
      <c r="C196" s="31"/>
      <c r="D196" s="31"/>
      <c r="E196" s="32"/>
      <c r="F196" s="32"/>
      <c r="G196" s="32"/>
      <c r="H196" s="32"/>
    </row>
    <row r="197" spans="1:8" x14ac:dyDescent="0.25">
      <c r="A197" s="31"/>
      <c r="B197" s="31"/>
      <c r="C197" s="31"/>
      <c r="D197" s="31"/>
      <c r="E197" s="32"/>
      <c r="F197" s="32"/>
      <c r="G197" s="32"/>
      <c r="H197" s="32"/>
    </row>
    <row r="198" spans="1:8" x14ac:dyDescent="0.25">
      <c r="A198" s="31"/>
      <c r="B198" s="31"/>
      <c r="C198" s="31"/>
      <c r="D198" s="31"/>
      <c r="E198" s="32"/>
      <c r="F198" s="32"/>
      <c r="G198" s="32"/>
      <c r="H198" s="32"/>
    </row>
    <row r="199" spans="1:8" x14ac:dyDescent="0.25">
      <c r="A199" s="31"/>
      <c r="B199" s="31"/>
      <c r="C199" s="31"/>
      <c r="D199" s="31"/>
      <c r="E199" s="32"/>
      <c r="F199" s="32"/>
      <c r="G199" s="32"/>
      <c r="H199" s="32"/>
    </row>
    <row r="200" spans="1:8" x14ac:dyDescent="0.25">
      <c r="A200" s="31"/>
      <c r="B200" s="31"/>
      <c r="C200" s="31"/>
      <c r="D200" s="31"/>
      <c r="E200" s="32"/>
      <c r="F200" s="32"/>
      <c r="G200" s="32"/>
      <c r="H200" s="32"/>
    </row>
    <row r="201" spans="1:8" x14ac:dyDescent="0.25">
      <c r="A201" s="31"/>
      <c r="B201" s="31"/>
      <c r="C201" s="31"/>
      <c r="D201" s="31"/>
      <c r="E201" s="32"/>
      <c r="F201" s="32"/>
      <c r="G201" s="32"/>
      <c r="H201" s="32"/>
    </row>
    <row r="202" spans="1:8" x14ac:dyDescent="0.25">
      <c r="A202" s="31"/>
      <c r="B202" s="31"/>
      <c r="C202" s="31"/>
      <c r="D202" s="31"/>
      <c r="E202" s="32"/>
      <c r="F202" s="32"/>
      <c r="G202" s="32"/>
      <c r="H202" s="32"/>
    </row>
  </sheetData>
  <mergeCells count="11">
    <mergeCell ref="A2:A7"/>
    <mergeCell ref="G2:G7"/>
    <mergeCell ref="H2:H7"/>
    <mergeCell ref="B7:C7"/>
    <mergeCell ref="A8:A16"/>
    <mergeCell ref="G8:G26"/>
    <mergeCell ref="H8:H26"/>
    <mergeCell ref="B16:D16"/>
    <mergeCell ref="A17:A26"/>
    <mergeCell ref="B26:D26"/>
    <mergeCell ref="A27:D27"/>
  </mergeCel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5"/>
  <sheetViews>
    <sheetView workbookViewId="0" zoomScale="100" zoomScaleNormal="100"/>
  </sheetViews>
  <sheetFormatPr defaultRowHeight="18" outlineLevelRow="0" outlineLevelCol="0" x14ac:dyDescent="0" defaultColWidth="14" customHeight="1"/>
  <cols>
    <col min="1" max="1" width="28.0898" style="33" customWidth="1"/>
    <col min="2" max="3" width="20.4805" style="33" customWidth="1"/>
    <col min="4" max="4" width="38.2695" style="33" customWidth="1"/>
    <col min="5" max="5" width="17.2692" style="33" customWidth="1"/>
    <col min="6" max="6" width="49.5625" style="33" customWidth="1"/>
    <col min="7" max="10" width="13.6731" style="33" customWidth="1"/>
    <col min="11" max="11" width="24.6923" style="33" customWidth="1"/>
    <col min="12" max="12" width="13.6731" style="33" customWidth="1"/>
    <col min="13" max="28" width="13.6731" style="10" customWidth="1"/>
  </cols>
  <sheetData>
    <row r="1" spans="1:28" s="34" customFormat="1" x14ac:dyDescent="0.25">
      <c r="A1" s="35" t="s">
        <v>34</v>
      </c>
      <c r="B1" s="35" t="s">
        <v>35</v>
      </c>
      <c r="C1" s="35" t="s">
        <v>0</v>
      </c>
      <c r="D1" s="35" t="s">
        <v>36</v>
      </c>
      <c r="E1" s="35" t="s">
        <v>37</v>
      </c>
      <c r="F1" s="35" t="s">
        <v>38</v>
      </c>
      <c r="G1" s="35" t="s">
        <v>39</v>
      </c>
      <c r="H1" s="35" t="s">
        <v>40</v>
      </c>
      <c r="I1" s="35" t="s">
        <v>41</v>
      </c>
      <c r="J1" s="35" t="s">
        <v>42</v>
      </c>
      <c r="K1" s="35" t="s">
        <v>43</v>
      </c>
      <c r="L1" s="35" t="s">
        <v>44</v>
      </c>
      <c r="M1" s="36"/>
      <c r="N1" s="36"/>
      <c r="O1" s="36"/>
      <c r="P1" s="36"/>
      <c r="Q1" s="36"/>
      <c r="R1" s="36"/>
      <c r="S1" s="36"/>
      <c r="T1" s="36"/>
      <c r="U1" s="36"/>
      <c r="V1" s="36"/>
      <c r="W1" s="36"/>
      <c r="X1" s="36"/>
      <c r="Y1" s="36"/>
      <c r="Z1" s="36"/>
      <c r="AA1" s="36"/>
      <c r="AB1" s="36"/>
    </row>
    <row r="2" spans="1:12" x14ac:dyDescent="0.25">
      <c r="A2" s="37" t="s">
        <v>45</v>
      </c>
      <c r="B2" s="37" t="s">
        <v>46</v>
      </c>
      <c r="C2" s="37" t="s">
        <v>47</v>
      </c>
      <c r="D2" s="37"/>
      <c r="E2" s="37" t="s">
        <v>48</v>
      </c>
      <c r="F2" s="37" t="s">
        <v>49</v>
      </c>
      <c r="G2" s="37"/>
      <c r="H2" s="37" t="s">
        <v>50</v>
      </c>
      <c r="I2" s="37"/>
      <c r="J2" s="37" t="s">
        <v>51</v>
      </c>
      <c r="K2" s="37"/>
      <c r="L2" s="37">
        <v>0</v>
      </c>
    </row>
    <row r="3" spans="1:12" x14ac:dyDescent="0.25">
      <c r="A3" s="37" t="s">
        <v>52</v>
      </c>
      <c r="B3" s="37" t="s">
        <v>46</v>
      </c>
      <c r="C3" s="37" t="s">
        <v>47</v>
      </c>
      <c r="D3" s="37"/>
      <c r="E3" s="37" t="s">
        <v>48</v>
      </c>
      <c r="F3" s="37" t="s">
        <v>53</v>
      </c>
      <c r="G3" s="37"/>
      <c r="H3" s="37" t="s">
        <v>50</v>
      </c>
      <c r="I3" s="37"/>
      <c r="J3" s="37" t="s">
        <v>51</v>
      </c>
      <c r="K3" s="37"/>
      <c r="L3" s="37">
        <v>0</v>
      </c>
    </row>
    <row r="4" spans="1:12" x14ac:dyDescent="0.25">
      <c r="A4" s="37" t="s">
        <v>54</v>
      </c>
      <c r="B4" s="37" t="s">
        <v>55</v>
      </c>
      <c r="C4" s="37" t="s">
        <v>47</v>
      </c>
      <c r="D4" s="37"/>
      <c r="E4" s="37" t="s">
        <v>56</v>
      </c>
      <c r="F4" s="37" t="s">
        <v>57</v>
      </c>
      <c r="G4" s="37"/>
      <c r="H4" s="37" t="s">
        <v>58</v>
      </c>
      <c r="I4" s="37"/>
      <c r="J4" s="37" t="s">
        <v>51</v>
      </c>
      <c r="K4" s="37"/>
      <c r="L4" s="37">
        <v>0</v>
      </c>
    </row>
    <row r="5" spans="1:12" x14ac:dyDescent="0.25">
      <c r="A5" s="37" t="s">
        <v>59</v>
      </c>
      <c r="B5" s="37" t="s">
        <v>46</v>
      </c>
      <c r="C5" s="37" t="s">
        <v>47</v>
      </c>
      <c r="D5" s="37"/>
      <c r="E5" s="37" t="s">
        <v>48</v>
      </c>
      <c r="F5" s="37" t="s">
        <v>60</v>
      </c>
      <c r="G5" s="37"/>
      <c r="H5" s="37" t="s">
        <v>61</v>
      </c>
      <c r="I5" s="37"/>
      <c r="J5" s="37" t="s">
        <v>51</v>
      </c>
      <c r="K5" s="37"/>
      <c r="L5" s="37">
        <v>0</v>
      </c>
    </row>
    <row r="6" spans="1:12" x14ac:dyDescent="0.25">
      <c r="A6" s="37" t="s">
        <v>62</v>
      </c>
      <c r="B6" s="37" t="s">
        <v>46</v>
      </c>
      <c r="C6" s="37" t="s">
        <v>47</v>
      </c>
      <c r="D6" s="37"/>
      <c r="E6" s="37" t="s">
        <v>48</v>
      </c>
      <c r="F6" s="37" t="s">
        <v>63</v>
      </c>
      <c r="G6" s="37"/>
      <c r="H6" s="37" t="s">
        <v>64</v>
      </c>
      <c r="I6" s="37"/>
      <c r="J6" s="37" t="s">
        <v>51</v>
      </c>
      <c r="K6" s="37"/>
      <c r="L6" s="37">
        <v>0</v>
      </c>
    </row>
    <row r="7" spans="1:12" x14ac:dyDescent="0.25">
      <c r="A7" s="37" t="s">
        <v>65</v>
      </c>
      <c r="B7" s="37" t="s">
        <v>46</v>
      </c>
      <c r="C7" s="37" t="s">
        <v>66</v>
      </c>
      <c r="D7" s="37"/>
      <c r="E7" s="37" t="s">
        <v>56</v>
      </c>
      <c r="F7" s="37" t="s">
        <v>67</v>
      </c>
      <c r="G7" s="37"/>
      <c r="H7" s="37" t="s">
        <v>68</v>
      </c>
      <c r="I7" s="37"/>
      <c r="J7" s="37" t="s">
        <v>51</v>
      </c>
      <c r="K7" s="37"/>
      <c r="L7" s="37">
        <v>0</v>
      </c>
    </row>
    <row r="8" spans="1:12" x14ac:dyDescent="0.25">
      <c r="A8" s="37" t="s">
        <v>69</v>
      </c>
      <c r="B8" s="37" t="s">
        <v>46</v>
      </c>
      <c r="C8" s="37" t="s">
        <v>47</v>
      </c>
      <c r="D8" s="37"/>
      <c r="E8" s="37" t="s">
        <v>48</v>
      </c>
      <c r="F8" s="37" t="s">
        <v>70</v>
      </c>
      <c r="G8" s="37"/>
      <c r="H8" s="37" t="s">
        <v>68</v>
      </c>
      <c r="I8" s="37"/>
      <c r="J8" s="37" t="s">
        <v>51</v>
      </c>
      <c r="K8" s="37"/>
      <c r="L8" s="37">
        <v>0</v>
      </c>
    </row>
    <row r="9" spans="1:12" x14ac:dyDescent="0.25">
      <c r="A9" s="37" t="s">
        <v>71</v>
      </c>
      <c r="B9" s="37" t="s">
        <v>46</v>
      </c>
      <c r="C9" s="37" t="s">
        <v>47</v>
      </c>
      <c r="D9" s="37"/>
      <c r="E9" s="37" t="s">
        <v>48</v>
      </c>
      <c r="F9" s="37" t="s">
        <v>72</v>
      </c>
      <c r="G9" s="37"/>
      <c r="H9" s="37" t="s">
        <v>73</v>
      </c>
      <c r="I9" s="37"/>
      <c r="J9" s="37" t="s">
        <v>51</v>
      </c>
      <c r="K9" s="37"/>
      <c r="L9" s="37">
        <v>0</v>
      </c>
    </row>
    <row r="10" spans="1:12" x14ac:dyDescent="0.25">
      <c r="A10" s="37" t="s">
        <v>74</v>
      </c>
      <c r="B10" s="37" t="s">
        <v>46</v>
      </c>
      <c r="C10" s="37" t="s">
        <v>47</v>
      </c>
      <c r="D10" s="37"/>
      <c r="E10" s="37" t="s">
        <v>48</v>
      </c>
      <c r="F10" s="37" t="s">
        <v>75</v>
      </c>
      <c r="G10" s="37"/>
      <c r="H10" s="37" t="s">
        <v>73</v>
      </c>
      <c r="I10" s="37"/>
      <c r="J10" s="37" t="s">
        <v>51</v>
      </c>
      <c r="K10" s="37"/>
      <c r="L10" s="37">
        <v>0</v>
      </c>
    </row>
    <row r="11" spans="1:12" x14ac:dyDescent="0.25">
      <c r="A11" s="37" t="s">
        <v>76</v>
      </c>
      <c r="B11" s="37" t="s">
        <v>46</v>
      </c>
      <c r="C11" s="37" t="s">
        <v>47</v>
      </c>
      <c r="D11" s="37"/>
      <c r="E11" s="37" t="s">
        <v>48</v>
      </c>
      <c r="F11" s="37" t="s">
        <v>77</v>
      </c>
      <c r="G11" s="37"/>
      <c r="H11" s="37" t="s">
        <v>78</v>
      </c>
      <c r="I11" s="37"/>
      <c r="J11" s="37" t="s">
        <v>51</v>
      </c>
      <c r="K11" s="37"/>
      <c r="L11" s="37">
        <v>0</v>
      </c>
    </row>
    <row r="12" spans="1:12" x14ac:dyDescent="0.25">
      <c r="A12" s="37" t="s">
        <v>79</v>
      </c>
      <c r="B12" s="37" t="s">
        <v>46</v>
      </c>
      <c r="C12" s="37" t="s">
        <v>47</v>
      </c>
      <c r="D12" s="37"/>
      <c r="E12" s="37" t="s">
        <v>48</v>
      </c>
      <c r="F12" s="37" t="s">
        <v>80</v>
      </c>
      <c r="G12" s="37"/>
      <c r="H12" s="37" t="s">
        <v>81</v>
      </c>
      <c r="I12" s="37"/>
      <c r="J12" s="37" t="s">
        <v>51</v>
      </c>
      <c r="K12" s="37"/>
      <c r="L12" s="37">
        <v>0</v>
      </c>
    </row>
    <row r="13" spans="1:12" x14ac:dyDescent="0.25">
      <c r="A13" s="37" t="s">
        <v>82</v>
      </c>
      <c r="B13" s="37" t="s">
        <v>46</v>
      </c>
      <c r="C13" s="37" t="s">
        <v>47</v>
      </c>
      <c r="D13" s="37"/>
      <c r="E13" s="37" t="s">
        <v>48</v>
      </c>
      <c r="F13" s="37" t="s">
        <v>83</v>
      </c>
      <c r="G13" s="37"/>
      <c r="H13" s="37" t="s">
        <v>84</v>
      </c>
      <c r="I13" s="37"/>
      <c r="J13" s="37" t="s">
        <v>51</v>
      </c>
      <c r="K13" s="37"/>
      <c r="L13" s="37">
        <v>0</v>
      </c>
    </row>
    <row r="14" spans="1:12" x14ac:dyDescent="0.25">
      <c r="A14" s="37" t="s">
        <v>85</v>
      </c>
      <c r="B14" s="37" t="s">
        <v>46</v>
      </c>
      <c r="C14" s="37" t="s">
        <v>47</v>
      </c>
      <c r="D14" s="37"/>
      <c r="E14" s="37" t="s">
        <v>48</v>
      </c>
      <c r="F14" s="37" t="s">
        <v>86</v>
      </c>
      <c r="G14" s="37"/>
      <c r="H14" s="37" t="s">
        <v>84</v>
      </c>
      <c r="I14" s="37"/>
      <c r="J14" s="37" t="s">
        <v>51</v>
      </c>
      <c r="K14" s="37"/>
      <c r="L14" s="37">
        <v>0</v>
      </c>
    </row>
    <row r="15" spans="1:12" x14ac:dyDescent="0.25">
      <c r="A15" s="37" t="s">
        <v>87</v>
      </c>
      <c r="B15" s="37" t="s">
        <v>46</v>
      </c>
      <c r="C15" s="37" t="s">
        <v>47</v>
      </c>
      <c r="D15" s="37"/>
      <c r="E15" s="37" t="s">
        <v>48</v>
      </c>
      <c r="F15" s="37" t="s">
        <v>88</v>
      </c>
      <c r="G15" s="37"/>
      <c r="H15" s="37" t="s">
        <v>89</v>
      </c>
      <c r="I15" s="37"/>
      <c r="J15" s="37" t="s">
        <v>51</v>
      </c>
      <c r="K15" s="37"/>
      <c r="L15" s="37">
        <v>0</v>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workbookViewId="0" zoomScale="100" zoomScaleNormal="100"/>
  </sheetViews>
  <sheetFormatPr defaultRowHeight="18" outlineLevelRow="0" outlineLevelCol="0" x14ac:dyDescent="0" defaultColWidth="14" customHeight="1"/>
  <cols>
    <col min="1" max="1" width="37.4904" style="33" customWidth="1"/>
    <col min="2" max="2" width="33.4615" style="33" customWidth="1"/>
    <col min="3" max="3" width="13.6731" style="33" customWidth="1"/>
    <col min="4" max="4" width="15.8558" style="33" customWidth="1"/>
    <col min="5" max="5" width="67.4615" style="33" customWidth="1"/>
    <col min="6" max="6" width="44.5312" style="33" customWidth="1"/>
    <col min="7" max="8" width="13.6731" style="33" customWidth="1"/>
    <col min="9" max="9" width="17.2692" style="33" customWidth="1"/>
    <col min="10" max="11" width="13.6731" style="33" customWidth="1"/>
    <col min="12" max="12" width="15.6538" style="33" customWidth="1"/>
    <col min="13" max="13" width="28.4615" style="33" customWidth="1"/>
    <col min="14" max="26" width="13.6731" style="10" customWidth="1"/>
  </cols>
  <sheetData>
    <row r="1" spans="1:26" s="38" customFormat="1" x14ac:dyDescent="0.25">
      <c r="A1" s="35" t="s">
        <v>34</v>
      </c>
      <c r="B1" s="35" t="s">
        <v>36</v>
      </c>
      <c r="C1" s="35" t="s">
        <v>37</v>
      </c>
      <c r="D1" s="35" t="s">
        <v>0</v>
      </c>
      <c r="E1" s="35" t="s">
        <v>38</v>
      </c>
      <c r="F1" s="35" t="s">
        <v>90</v>
      </c>
      <c r="G1" s="35" t="s">
        <v>40</v>
      </c>
      <c r="H1" s="35" t="s">
        <v>91</v>
      </c>
      <c r="I1" s="35" t="s">
        <v>92</v>
      </c>
      <c r="J1" s="35" t="s">
        <v>42</v>
      </c>
      <c r="K1" s="35" t="s">
        <v>43</v>
      </c>
      <c r="L1" s="35" t="s">
        <v>93</v>
      </c>
      <c r="M1" s="35" t="s">
        <v>44</v>
      </c>
      <c r="N1" s="39"/>
      <c r="O1" s="39"/>
      <c r="P1" s="39"/>
      <c r="Q1" s="39"/>
      <c r="R1" s="39"/>
      <c r="S1" s="39"/>
      <c r="T1" s="39"/>
      <c r="U1" s="39"/>
      <c r="V1" s="39"/>
      <c r="W1" s="39"/>
      <c r="X1" s="39"/>
      <c r="Y1" s="39"/>
      <c r="Z1" s="39"/>
    </row>
  </sheetData>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zoomScale="100" zoomScaleNormal="100"/>
  </sheetViews>
  <sheetFormatPr defaultRowHeight="18" outlineLevelRow="0" outlineLevelCol="0" x14ac:dyDescent="0" defaultColWidth="14" customHeight="1"/>
  <cols>
    <col min="1" max="1" width="16.8654" style="10" customWidth="1"/>
    <col min="2" max="2" width="30.5508" style="10" customWidth="1"/>
    <col min="3" max="4" width="13.6731" style="10" customWidth="1"/>
    <col min="5" max="5" width="50.0508" style="33" customWidth="1"/>
    <col min="6" max="6" width="17.3008" style="10" customWidth="1"/>
    <col min="7" max="8" width="13.6731" style="10" customWidth="1"/>
    <col min="9" max="9" width="19.4231" style="10" customWidth="1"/>
    <col min="10" max="21" width="13.6731" style="10" customWidth="1"/>
  </cols>
  <sheetData>
    <row r="1" spans="1:9" x14ac:dyDescent="0.25">
      <c r="A1" s="40" t="s">
        <v>34</v>
      </c>
      <c r="B1" s="41" t="s">
        <v>35</v>
      </c>
      <c r="C1" s="41" t="s">
        <v>37</v>
      </c>
      <c r="D1" s="41" t="s">
        <v>0</v>
      </c>
      <c r="E1" s="42" t="s">
        <v>38</v>
      </c>
      <c r="F1" s="43" t="s">
        <v>40</v>
      </c>
      <c r="G1" s="41" t="s">
        <v>42</v>
      </c>
      <c r="H1" s="41" t="s">
        <v>43</v>
      </c>
      <c r="I1" s="43" t="s">
        <v>44</v>
      </c>
    </row>
    <row r="2" spans="1:9" x14ac:dyDescent="0.25">
      <c r="A2" s="37" t="s">
        <v>45</v>
      </c>
      <c r="B2" s="37" t="s">
        <v>46</v>
      </c>
      <c r="C2" s="37" t="s">
        <v>48</v>
      </c>
      <c r="D2" s="37" t="s">
        <v>47</v>
      </c>
      <c r="E2" s="37" t="s">
        <v>49</v>
      </c>
      <c r="F2" s="37" t="s">
        <v>50</v>
      </c>
      <c r="G2" s="37" t="s">
        <v>51</v>
      </c>
      <c r="H2" s="37"/>
      <c r="I2" s="37">
        <v>0.2</v>
      </c>
    </row>
    <row r="3" spans="1:9" x14ac:dyDescent="0.25">
      <c r="A3" s="37" t="s">
        <v>52</v>
      </c>
      <c r="B3" s="37" t="s">
        <v>46</v>
      </c>
      <c r="C3" s="37" t="s">
        <v>48</v>
      </c>
      <c r="D3" s="37" t="s">
        <v>47</v>
      </c>
      <c r="E3" s="37" t="s">
        <v>53</v>
      </c>
      <c r="F3" s="37" t="s">
        <v>50</v>
      </c>
      <c r="G3" s="37" t="s">
        <v>51</v>
      </c>
      <c r="H3" s="37"/>
      <c r="I3" s="37">
        <v>0.2</v>
      </c>
    </row>
    <row r="4" spans="1:9" x14ac:dyDescent="0.25">
      <c r="A4" s="37" t="s">
        <v>54</v>
      </c>
      <c r="B4" s="37" t="s">
        <v>55</v>
      </c>
      <c r="C4" s="37" t="s">
        <v>56</v>
      </c>
      <c r="D4" s="37" t="s">
        <v>47</v>
      </c>
      <c r="E4" s="37" t="s">
        <v>57</v>
      </c>
      <c r="F4" s="37" t="s">
        <v>58</v>
      </c>
      <c r="G4" s="37" t="s">
        <v>51</v>
      </c>
      <c r="H4" s="37"/>
      <c r="I4" s="37">
        <v>0.2</v>
      </c>
    </row>
    <row r="5" spans="1:9" x14ac:dyDescent="0.25">
      <c r="A5" s="37" t="s">
        <v>59</v>
      </c>
      <c r="B5" s="37" t="s">
        <v>46</v>
      </c>
      <c r="C5" s="37" t="s">
        <v>48</v>
      </c>
      <c r="D5" s="37" t="s">
        <v>47</v>
      </c>
      <c r="E5" s="37" t="s">
        <v>60</v>
      </c>
      <c r="F5" s="37" t="s">
        <v>61</v>
      </c>
      <c r="G5" s="37" t="s">
        <v>51</v>
      </c>
      <c r="H5" s="37"/>
      <c r="I5" s="37">
        <v>0.2</v>
      </c>
    </row>
    <row r="6" spans="1:9" x14ac:dyDescent="0.25">
      <c r="A6" s="37" t="s">
        <v>62</v>
      </c>
      <c r="B6" s="37" t="s">
        <v>46</v>
      </c>
      <c r="C6" s="37" t="s">
        <v>48</v>
      </c>
      <c r="D6" s="37" t="s">
        <v>47</v>
      </c>
      <c r="E6" s="37" t="s">
        <v>63</v>
      </c>
      <c r="F6" s="37" t="s">
        <v>64</v>
      </c>
      <c r="G6" s="37" t="s">
        <v>51</v>
      </c>
      <c r="H6" s="37"/>
      <c r="I6" s="37">
        <v>0.2</v>
      </c>
    </row>
    <row r="7" spans="1:9" x14ac:dyDescent="0.25">
      <c r="A7" s="37" t="s">
        <v>65</v>
      </c>
      <c r="B7" s="37" t="s">
        <v>46</v>
      </c>
      <c r="C7" s="37" t="s">
        <v>56</v>
      </c>
      <c r="D7" s="37" t="s">
        <v>66</v>
      </c>
      <c r="E7" s="37" t="s">
        <v>67</v>
      </c>
      <c r="F7" s="37" t="s">
        <v>68</v>
      </c>
      <c r="G7" s="37" t="s">
        <v>51</v>
      </c>
      <c r="H7" s="37"/>
      <c r="I7" s="37">
        <v>0.2</v>
      </c>
    </row>
    <row r="8" spans="1:9" x14ac:dyDescent="0.25">
      <c r="A8" s="37" t="s">
        <v>69</v>
      </c>
      <c r="B8" s="37" t="s">
        <v>46</v>
      </c>
      <c r="C8" s="37" t="s">
        <v>48</v>
      </c>
      <c r="D8" s="37" t="s">
        <v>47</v>
      </c>
      <c r="E8" s="37" t="s">
        <v>70</v>
      </c>
      <c r="F8" s="37" t="s">
        <v>68</v>
      </c>
      <c r="G8" s="37" t="s">
        <v>51</v>
      </c>
      <c r="H8" s="37"/>
      <c r="I8" s="37">
        <v>0.2</v>
      </c>
    </row>
    <row r="9" spans="1:9" x14ac:dyDescent="0.25">
      <c r="A9" s="37" t="s">
        <v>71</v>
      </c>
      <c r="B9" s="37" t="s">
        <v>46</v>
      </c>
      <c r="C9" s="37" t="s">
        <v>48</v>
      </c>
      <c r="D9" s="37" t="s">
        <v>47</v>
      </c>
      <c r="E9" s="37" t="s">
        <v>72</v>
      </c>
      <c r="F9" s="37" t="s">
        <v>73</v>
      </c>
      <c r="G9" s="37" t="s">
        <v>51</v>
      </c>
      <c r="H9" s="37"/>
      <c r="I9" s="37">
        <v>0.2</v>
      </c>
    </row>
    <row r="10" spans="1:9" x14ac:dyDescent="0.25">
      <c r="A10" s="37" t="s">
        <v>74</v>
      </c>
      <c r="B10" s="37" t="s">
        <v>46</v>
      </c>
      <c r="C10" s="37" t="s">
        <v>48</v>
      </c>
      <c r="D10" s="37" t="s">
        <v>47</v>
      </c>
      <c r="E10" s="37" t="s">
        <v>75</v>
      </c>
      <c r="F10" s="37" t="s">
        <v>73</v>
      </c>
      <c r="G10" s="37" t="s">
        <v>51</v>
      </c>
      <c r="H10" s="37"/>
      <c r="I10" s="37">
        <v>0.2</v>
      </c>
    </row>
    <row r="11" spans="1:9" x14ac:dyDescent="0.25">
      <c r="A11" s="37" t="s">
        <v>76</v>
      </c>
      <c r="B11" s="37" t="s">
        <v>46</v>
      </c>
      <c r="C11" s="37" t="s">
        <v>48</v>
      </c>
      <c r="D11" s="37" t="s">
        <v>47</v>
      </c>
      <c r="E11" s="37" t="s">
        <v>77</v>
      </c>
      <c r="F11" s="37" t="s">
        <v>78</v>
      </c>
      <c r="G11" s="37" t="s">
        <v>51</v>
      </c>
      <c r="H11" s="37"/>
      <c r="I11" s="37">
        <v>0.2</v>
      </c>
    </row>
    <row r="12" spans="1:9" x14ac:dyDescent="0.25">
      <c r="A12" s="37" t="s">
        <v>79</v>
      </c>
      <c r="B12" s="37" t="s">
        <v>46</v>
      </c>
      <c r="C12" s="37" t="s">
        <v>48</v>
      </c>
      <c r="D12" s="37" t="s">
        <v>47</v>
      </c>
      <c r="E12" s="37" t="s">
        <v>80</v>
      </c>
      <c r="F12" s="37" t="s">
        <v>81</v>
      </c>
      <c r="G12" s="37" t="s">
        <v>51</v>
      </c>
      <c r="H12" s="37"/>
      <c r="I12" s="37">
        <v>0.2</v>
      </c>
    </row>
    <row r="13" spans="1:9" x14ac:dyDescent="0.25">
      <c r="A13" s="37" t="s">
        <v>82</v>
      </c>
      <c r="B13" s="37" t="s">
        <v>46</v>
      </c>
      <c r="C13" s="37" t="s">
        <v>48</v>
      </c>
      <c r="D13" s="37" t="s">
        <v>47</v>
      </c>
      <c r="E13" s="37" t="s">
        <v>83</v>
      </c>
      <c r="F13" s="37" t="s">
        <v>84</v>
      </c>
      <c r="G13" s="37" t="s">
        <v>51</v>
      </c>
      <c r="H13" s="37"/>
      <c r="I13" s="37">
        <v>0.2</v>
      </c>
    </row>
    <row r="14" spans="1:9" x14ac:dyDescent="0.25">
      <c r="A14" s="37" t="s">
        <v>85</v>
      </c>
      <c r="B14" s="37" t="s">
        <v>46</v>
      </c>
      <c r="C14" s="37" t="s">
        <v>48</v>
      </c>
      <c r="D14" s="37" t="s">
        <v>47</v>
      </c>
      <c r="E14" s="37" t="s">
        <v>86</v>
      </c>
      <c r="F14" s="37" t="s">
        <v>84</v>
      </c>
      <c r="G14" s="37" t="s">
        <v>51</v>
      </c>
      <c r="H14" s="37"/>
      <c r="I14" s="37">
        <v>0.2</v>
      </c>
    </row>
    <row r="15" spans="1:9" x14ac:dyDescent="0.25">
      <c r="A15" s="37" t="s">
        <v>87</v>
      </c>
      <c r="B15" s="37" t="s">
        <v>46</v>
      </c>
      <c r="C15" s="37" t="s">
        <v>48</v>
      </c>
      <c r="D15" s="37" t="s">
        <v>47</v>
      </c>
      <c r="E15" s="37" t="s">
        <v>88</v>
      </c>
      <c r="F15" s="37" t="s">
        <v>89</v>
      </c>
      <c r="G15" s="37" t="s">
        <v>51</v>
      </c>
      <c r="H15" s="37"/>
      <c r="I15" s="37">
        <v>0.2</v>
      </c>
    </row>
  </sheetData>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10"/>
  <sheetViews>
    <sheetView workbookViewId="0" zoomScale="100" zoomScaleNormal="100"/>
  </sheetViews>
  <sheetFormatPr defaultRowHeight="18" outlineLevelRow="0" outlineLevelCol="0" x14ac:dyDescent="0" defaultColWidth="14" customHeight="1"/>
  <cols>
    <col min="1" max="5" width="14" style="44" customWidth="1"/>
    <col min="6" max="6" width="55.8558" style="44" customWidth="1"/>
    <col min="7" max="15" width="14" style="44" customWidth="1"/>
    <col min="16" max="16" width="31.0288" style="44" customWidth="1"/>
    <col min="17" max="17" width="22.9327" style="44" customWidth="1"/>
    <col min="18" max="18" width="21.1827" style="44" customWidth="1"/>
    <col min="19" max="19" width="27.1133" style="44" customWidth="1"/>
    <col min="20" max="20" width="30.6719" style="44" customWidth="1"/>
    <col min="21" max="27" width="14" style="44" customWidth="1"/>
  </cols>
  <sheetData>
    <row r="1" spans="1:27" x14ac:dyDescent="0.25">
      <c r="A1" s="45" t="s">
        <v>34</v>
      </c>
      <c r="B1" s="45" t="s">
        <v>37</v>
      </c>
      <c r="C1" s="46" t="s">
        <v>38</v>
      </c>
      <c r="D1" s="45" t="s">
        <v>94</v>
      </c>
      <c r="E1" s="45" t="s">
        <v>40</v>
      </c>
      <c r="F1" s="45" t="s">
        <v>95</v>
      </c>
      <c r="G1" s="45" t="s">
        <v>96</v>
      </c>
      <c r="H1" s="45" t="s">
        <v>97</v>
      </c>
      <c r="I1" s="45" t="s">
        <v>98</v>
      </c>
      <c r="J1" s="45" t="s">
        <v>99</v>
      </c>
      <c r="K1" s="45" t="s">
        <v>100</v>
      </c>
      <c r="L1" s="45" t="s">
        <v>101</v>
      </c>
      <c r="M1" s="45" t="s">
        <v>102</v>
      </c>
      <c r="N1" s="45" t="s">
        <v>41</v>
      </c>
      <c r="O1" s="45" t="s">
        <v>103</v>
      </c>
      <c r="P1" s="47" t="s">
        <v>104</v>
      </c>
      <c r="Q1" s="47" t="s">
        <v>105</v>
      </c>
      <c r="R1" s="47" t="s">
        <v>106</v>
      </c>
      <c r="S1" s="47" t="s">
        <v>107</v>
      </c>
      <c r="T1" s="47" t="s">
        <v>108</v>
      </c>
      <c r="U1" s="45" t="s">
        <v>109</v>
      </c>
      <c r="V1" s="45" t="s">
        <v>110</v>
      </c>
      <c r="W1" s="45" t="s">
        <v>111</v>
      </c>
      <c r="X1" s="45" t="s">
        <v>112</v>
      </c>
      <c r="Y1" s="45" t="s">
        <v>113</v>
      </c>
      <c r="Z1" s="48" t="s">
        <v>43</v>
      </c>
      <c r="AA1" s="45" t="s">
        <v>44</v>
      </c>
    </row>
    <row r="2" spans="1:27" x14ac:dyDescent="0.25">
      <c r="A2" s="37" t="s">
        <v>114</v>
      </c>
      <c r="B2" s="37" t="s">
        <v>115</v>
      </c>
      <c r="C2" s="37" t="s">
        <v>116</v>
      </c>
      <c r="D2" s="37" t="s">
        <v>117</v>
      </c>
      <c r="E2" s="37" t="s">
        <v>118</v>
      </c>
      <c r="F2" s="37"/>
      <c r="G2" s="37" t="s">
        <v>119</v>
      </c>
      <c r="H2" s="37" t="s">
        <v>61</v>
      </c>
      <c r="I2" s="37" t="s">
        <v>120</v>
      </c>
      <c r="J2" s="37" t="s">
        <v>121</v>
      </c>
      <c r="K2" s="37" t="s">
        <v>61</v>
      </c>
      <c r="L2" s="37" t="s">
        <v>122</v>
      </c>
      <c r="M2" s="37" t="s">
        <v>123</v>
      </c>
      <c r="N2" s="37" t="s">
        <v>61</v>
      </c>
      <c r="O2" s="37" t="s">
        <v>122</v>
      </c>
      <c r="P2" s="37" t="s">
        <v>124</v>
      </c>
      <c r="Q2" s="37" t="s">
        <v>125</v>
      </c>
      <c r="R2" s="37" t="s">
        <v>126</v>
      </c>
      <c r="S2" s="37" t="s">
        <v>127</v>
      </c>
      <c r="T2" s="37" t="s">
        <v>127</v>
      </c>
      <c r="U2" s="37" t="s">
        <v>128</v>
      </c>
      <c r="V2" s="37" t="s">
        <v>61</v>
      </c>
      <c r="W2" s="37" t="s">
        <v>122</v>
      </c>
      <c r="X2" s="37"/>
      <c r="Y2" s="37"/>
      <c r="Z2" s="37"/>
      <c r="AA2" s="37">
        <v>0.2</v>
      </c>
    </row>
    <row r="3" spans="1:27" x14ac:dyDescent="0.25">
      <c r="A3" s="37" t="s">
        <v>129</v>
      </c>
      <c r="B3" s="37" t="s">
        <v>130</v>
      </c>
      <c r="C3" s="37" t="s">
        <v>131</v>
      </c>
      <c r="D3" s="37" t="s">
        <v>132</v>
      </c>
      <c r="E3" s="37" t="s">
        <v>133</v>
      </c>
      <c r="F3" s="37"/>
      <c r="G3" s="37" t="s">
        <v>119</v>
      </c>
      <c r="H3" s="37" t="s">
        <v>58</v>
      </c>
      <c r="I3" s="37" t="s">
        <v>134</v>
      </c>
      <c r="J3" s="37" t="s">
        <v>135</v>
      </c>
      <c r="K3" s="37" t="s">
        <v>61</v>
      </c>
      <c r="L3" s="37" t="s">
        <v>122</v>
      </c>
      <c r="M3" s="37" t="s">
        <v>136</v>
      </c>
      <c r="N3" s="37" t="s">
        <v>137</v>
      </c>
      <c r="O3" s="37" t="s">
        <v>122</v>
      </c>
      <c r="P3" s="37"/>
      <c r="Q3" s="37"/>
      <c r="R3" s="37"/>
      <c r="S3" s="37"/>
      <c r="T3" s="37"/>
      <c r="U3" s="37" t="s">
        <v>128</v>
      </c>
      <c r="V3" s="37" t="s">
        <v>137</v>
      </c>
      <c r="W3" s="37" t="s">
        <v>122</v>
      </c>
      <c r="X3" s="37" t="s">
        <v>136</v>
      </c>
      <c r="Y3" s="37" t="s">
        <v>137</v>
      </c>
      <c r="Z3" s="37"/>
      <c r="AA3" s="37">
        <v>0.2</v>
      </c>
    </row>
    <row r="4" spans="1:27" x14ac:dyDescent="0.25">
      <c r="A4" s="37" t="s">
        <v>138</v>
      </c>
      <c r="B4" s="37" t="s">
        <v>130</v>
      </c>
      <c r="C4" s="37" t="s">
        <v>139</v>
      </c>
      <c r="D4" s="37" t="s">
        <v>132</v>
      </c>
      <c r="E4" s="37" t="s">
        <v>133</v>
      </c>
      <c r="F4" s="37"/>
      <c r="G4" s="37" t="s">
        <v>119</v>
      </c>
      <c r="H4" s="37" t="s">
        <v>58</v>
      </c>
      <c r="I4" s="37" t="s">
        <v>140</v>
      </c>
      <c r="J4" s="37" t="s">
        <v>135</v>
      </c>
      <c r="K4" s="37" t="s">
        <v>61</v>
      </c>
      <c r="L4" s="37" t="s">
        <v>122</v>
      </c>
      <c r="M4" s="37" t="s">
        <v>136</v>
      </c>
      <c r="N4" s="37" t="s">
        <v>137</v>
      </c>
      <c r="O4" s="37" t="s">
        <v>122</v>
      </c>
      <c r="P4" s="37"/>
      <c r="Q4" s="37"/>
      <c r="R4" s="37"/>
      <c r="S4" s="37"/>
      <c r="T4" s="37"/>
      <c r="U4" s="37" t="s">
        <v>128</v>
      </c>
      <c r="V4" s="37" t="s">
        <v>137</v>
      </c>
      <c r="W4" s="37" t="s">
        <v>122</v>
      </c>
      <c r="X4" s="37" t="s">
        <v>136</v>
      </c>
      <c r="Y4" s="37" t="s">
        <v>137</v>
      </c>
      <c r="Z4" s="37"/>
      <c r="AA4" s="37">
        <v>0.2</v>
      </c>
    </row>
    <row r="5" spans="1:27" x14ac:dyDescent="0.25">
      <c r="A5" s="37" t="s">
        <v>141</v>
      </c>
      <c r="B5" s="37" t="s">
        <v>130</v>
      </c>
      <c r="C5" s="37" t="s">
        <v>142</v>
      </c>
      <c r="D5" s="37" t="s">
        <v>132</v>
      </c>
      <c r="E5" s="37" t="s">
        <v>133</v>
      </c>
      <c r="F5" s="37"/>
      <c r="G5" s="37" t="s">
        <v>119</v>
      </c>
      <c r="H5" s="37" t="s">
        <v>58</v>
      </c>
      <c r="I5" s="37" t="s">
        <v>143</v>
      </c>
      <c r="J5" s="37" t="s">
        <v>135</v>
      </c>
      <c r="K5" s="37" t="s">
        <v>61</v>
      </c>
      <c r="L5" s="37" t="s">
        <v>122</v>
      </c>
      <c r="M5" s="37" t="s">
        <v>136</v>
      </c>
      <c r="N5" s="37" t="s">
        <v>137</v>
      </c>
      <c r="O5" s="37" t="s">
        <v>122</v>
      </c>
      <c r="P5" s="37"/>
      <c r="Q5" s="37"/>
      <c r="R5" s="37"/>
      <c r="S5" s="37"/>
      <c r="T5" s="37"/>
      <c r="U5" s="37" t="s">
        <v>128</v>
      </c>
      <c r="V5" s="37" t="s">
        <v>137</v>
      </c>
      <c r="W5" s="37" t="s">
        <v>122</v>
      </c>
      <c r="X5" s="37"/>
      <c r="Y5" s="37"/>
      <c r="Z5" s="37"/>
      <c r="AA5" s="37">
        <v>0.2</v>
      </c>
    </row>
    <row r="6" spans="1:27" x14ac:dyDescent="0.25">
      <c r="A6" s="37" t="s">
        <v>144</v>
      </c>
      <c r="B6" s="37" t="s">
        <v>130</v>
      </c>
      <c r="C6" s="37" t="s">
        <v>145</v>
      </c>
      <c r="D6" s="37" t="s">
        <v>146</v>
      </c>
      <c r="E6" s="37" t="s">
        <v>133</v>
      </c>
      <c r="F6" s="37"/>
      <c r="G6" s="37" t="s">
        <v>147</v>
      </c>
      <c r="H6" s="37" t="s">
        <v>58</v>
      </c>
      <c r="I6" s="37" t="s">
        <v>148</v>
      </c>
      <c r="J6" s="37" t="s">
        <v>149</v>
      </c>
      <c r="K6" s="37" t="s">
        <v>58</v>
      </c>
      <c r="L6" s="37" t="s">
        <v>122</v>
      </c>
      <c r="M6" s="37" t="s">
        <v>136</v>
      </c>
      <c r="N6" s="37" t="s">
        <v>58</v>
      </c>
      <c r="O6" s="37" t="s">
        <v>122</v>
      </c>
      <c r="P6" s="37"/>
      <c r="Q6" s="37"/>
      <c r="R6" s="37"/>
      <c r="S6" s="37"/>
      <c r="T6" s="37"/>
      <c r="U6" s="37" t="s">
        <v>128</v>
      </c>
      <c r="V6" s="37" t="s">
        <v>58</v>
      </c>
      <c r="W6" s="37" t="s">
        <v>122</v>
      </c>
      <c r="X6" s="37" t="s">
        <v>136</v>
      </c>
      <c r="Y6" s="37" t="s">
        <v>58</v>
      </c>
      <c r="Z6" s="37"/>
      <c r="AA6" s="37">
        <v>0.2</v>
      </c>
    </row>
    <row r="7" spans="1:27" x14ac:dyDescent="0.25">
      <c r="A7" s="37" t="s">
        <v>150</v>
      </c>
      <c r="B7" s="37" t="s">
        <v>130</v>
      </c>
      <c r="C7" s="37" t="s">
        <v>151</v>
      </c>
      <c r="D7" s="37" t="s">
        <v>146</v>
      </c>
      <c r="E7" s="37" t="s">
        <v>133</v>
      </c>
      <c r="F7" s="37"/>
      <c r="G7" s="37" t="s">
        <v>147</v>
      </c>
      <c r="H7" s="37" t="s">
        <v>58</v>
      </c>
      <c r="I7" s="37" t="s">
        <v>148</v>
      </c>
      <c r="J7" s="37" t="s">
        <v>149</v>
      </c>
      <c r="K7" s="37" t="s">
        <v>58</v>
      </c>
      <c r="L7" s="37" t="s">
        <v>122</v>
      </c>
      <c r="M7" s="37" t="s">
        <v>136</v>
      </c>
      <c r="N7" s="37" t="s">
        <v>58</v>
      </c>
      <c r="O7" s="37" t="s">
        <v>122</v>
      </c>
      <c r="P7" s="37"/>
      <c r="Q7" s="37"/>
      <c r="R7" s="37"/>
      <c r="S7" s="37"/>
      <c r="T7" s="37"/>
      <c r="U7" s="37" t="s">
        <v>128</v>
      </c>
      <c r="V7" s="37" t="s">
        <v>58</v>
      </c>
      <c r="W7" s="37" t="s">
        <v>122</v>
      </c>
      <c r="X7" s="37"/>
      <c r="Y7" s="37"/>
      <c r="Z7" s="37"/>
      <c r="AA7" s="37">
        <v>0.2</v>
      </c>
    </row>
    <row r="8" spans="1:27" x14ac:dyDescent="0.25">
      <c r="A8" s="37" t="s">
        <v>152</v>
      </c>
      <c r="B8" s="37" t="s">
        <v>130</v>
      </c>
      <c r="C8" s="37" t="s">
        <v>153</v>
      </c>
      <c r="D8" s="37" t="s">
        <v>146</v>
      </c>
      <c r="E8" s="37" t="s">
        <v>133</v>
      </c>
      <c r="F8" s="37"/>
      <c r="G8" s="37" t="s">
        <v>147</v>
      </c>
      <c r="H8" s="37" t="s">
        <v>58</v>
      </c>
      <c r="I8" s="37" t="s">
        <v>148</v>
      </c>
      <c r="J8" s="37" t="s">
        <v>149</v>
      </c>
      <c r="K8" s="37" t="s">
        <v>58</v>
      </c>
      <c r="L8" s="37" t="s">
        <v>122</v>
      </c>
      <c r="M8" s="37" t="s">
        <v>136</v>
      </c>
      <c r="N8" s="37" t="s">
        <v>58</v>
      </c>
      <c r="O8" s="37" t="s">
        <v>122</v>
      </c>
      <c r="P8" s="37"/>
      <c r="Q8" s="37"/>
      <c r="R8" s="37"/>
      <c r="S8" s="37"/>
      <c r="T8" s="37"/>
      <c r="U8" s="37" t="s">
        <v>128</v>
      </c>
      <c r="V8" s="37" t="s">
        <v>58</v>
      </c>
      <c r="W8" s="37" t="s">
        <v>122</v>
      </c>
      <c r="X8" s="37" t="s">
        <v>136</v>
      </c>
      <c r="Y8" s="37" t="s">
        <v>58</v>
      </c>
      <c r="Z8" s="37"/>
      <c r="AA8" s="37">
        <v>0.2</v>
      </c>
    </row>
    <row r="9" spans="1:27" x14ac:dyDescent="0.25">
      <c r="A9" s="37" t="s">
        <v>154</v>
      </c>
      <c r="B9" s="37" t="s">
        <v>130</v>
      </c>
      <c r="C9" s="37" t="s">
        <v>155</v>
      </c>
      <c r="D9" s="37" t="s">
        <v>146</v>
      </c>
      <c r="E9" s="37" t="s">
        <v>133</v>
      </c>
      <c r="F9" s="37"/>
      <c r="G9" s="37" t="s">
        <v>147</v>
      </c>
      <c r="H9" s="37" t="s">
        <v>58</v>
      </c>
      <c r="I9" s="37" t="s">
        <v>148</v>
      </c>
      <c r="J9" s="37" t="s">
        <v>149</v>
      </c>
      <c r="K9" s="37" t="s">
        <v>58</v>
      </c>
      <c r="L9" s="37" t="s">
        <v>122</v>
      </c>
      <c r="M9" s="37" t="s">
        <v>136</v>
      </c>
      <c r="N9" s="37" t="s">
        <v>58</v>
      </c>
      <c r="O9" s="37" t="s">
        <v>122</v>
      </c>
      <c r="P9" s="37"/>
      <c r="Q9" s="37"/>
      <c r="R9" s="37"/>
      <c r="S9" s="37"/>
      <c r="T9" s="37"/>
      <c r="U9" s="37" t="s">
        <v>128</v>
      </c>
      <c r="V9" s="37" t="s">
        <v>58</v>
      </c>
      <c r="W9" s="37" t="s">
        <v>122</v>
      </c>
      <c r="X9" s="37"/>
      <c r="Y9" s="37"/>
      <c r="Z9" s="37"/>
      <c r="AA9" s="37">
        <v>0.2</v>
      </c>
    </row>
    <row r="10" spans="1:27" x14ac:dyDescent="0.25">
      <c r="A10" s="37" t="s">
        <v>154</v>
      </c>
      <c r="B10" s="37" t="s">
        <v>156</v>
      </c>
      <c r="C10" s="37" t="s">
        <v>157</v>
      </c>
      <c r="D10" s="37" t="s">
        <v>158</v>
      </c>
      <c r="E10" s="37" t="s">
        <v>133</v>
      </c>
      <c r="F10" s="37"/>
      <c r="G10" s="37" t="s">
        <v>119</v>
      </c>
      <c r="H10" s="37" t="s">
        <v>159</v>
      </c>
      <c r="I10" s="37" t="s">
        <v>160</v>
      </c>
      <c r="J10" s="37" t="s">
        <v>135</v>
      </c>
      <c r="K10" s="37" t="s">
        <v>137</v>
      </c>
      <c r="L10" s="37" t="s">
        <v>122</v>
      </c>
      <c r="M10" s="37" t="s">
        <v>136</v>
      </c>
      <c r="N10" s="37" t="s">
        <v>161</v>
      </c>
      <c r="O10" s="37" t="s">
        <v>122</v>
      </c>
      <c r="P10" s="37"/>
      <c r="Q10" s="37"/>
      <c r="R10" s="37"/>
      <c r="S10" s="37"/>
      <c r="T10" s="37"/>
      <c r="U10" s="37" t="s">
        <v>128</v>
      </c>
      <c r="V10" s="37" t="s">
        <v>161</v>
      </c>
      <c r="W10" s="37" t="s">
        <v>122</v>
      </c>
      <c r="X10" s="37"/>
      <c r="Y10" s="37"/>
      <c r="Z10" s="37"/>
      <c r="AA10" s="37">
        <v>0.2</v>
      </c>
    </row>
    <row r="11" spans="1:27" x14ac:dyDescent="0.25">
      <c r="A11" s="37" t="s">
        <v>154</v>
      </c>
      <c r="B11" s="37" t="s">
        <v>162</v>
      </c>
      <c r="C11" s="37" t="s">
        <v>163</v>
      </c>
      <c r="D11" s="37" t="s">
        <v>117</v>
      </c>
      <c r="E11" s="37" t="s">
        <v>133</v>
      </c>
      <c r="F11" s="37"/>
      <c r="G11" s="37" t="s">
        <v>119</v>
      </c>
      <c r="H11" s="37" t="s">
        <v>61</v>
      </c>
      <c r="I11" s="37" t="s">
        <v>164</v>
      </c>
      <c r="J11" s="37" t="s">
        <v>121</v>
      </c>
      <c r="K11" s="37" t="s">
        <v>61</v>
      </c>
      <c r="L11" s="37" t="s">
        <v>122</v>
      </c>
      <c r="M11" s="37" t="s">
        <v>123</v>
      </c>
      <c r="N11" s="37" t="s">
        <v>61</v>
      </c>
      <c r="O11" s="37" t="s">
        <v>122</v>
      </c>
      <c r="P11" s="37" t="s">
        <v>124</v>
      </c>
      <c r="Q11" s="37" t="s">
        <v>165</v>
      </c>
      <c r="R11" s="37" t="s">
        <v>166</v>
      </c>
      <c r="S11" s="37" t="s">
        <v>127</v>
      </c>
      <c r="T11" s="37" t="s">
        <v>127</v>
      </c>
      <c r="U11" s="37" t="s">
        <v>128</v>
      </c>
      <c r="V11" s="37" t="s">
        <v>61</v>
      </c>
      <c r="W11" s="37" t="s">
        <v>122</v>
      </c>
      <c r="X11" s="37"/>
      <c r="Y11" s="37"/>
      <c r="Z11" s="37"/>
      <c r="AA11" s="37">
        <v>0.2</v>
      </c>
    </row>
    <row r="12" spans="1:27" x14ac:dyDescent="0.25">
      <c r="A12" s="37" t="s">
        <v>154</v>
      </c>
      <c r="B12" s="37" t="s">
        <v>167</v>
      </c>
      <c r="C12" s="37" t="s">
        <v>168</v>
      </c>
      <c r="D12" s="37" t="s">
        <v>169</v>
      </c>
      <c r="E12" s="37" t="s">
        <v>133</v>
      </c>
      <c r="F12" s="37"/>
      <c r="G12" s="37" t="s">
        <v>119</v>
      </c>
      <c r="H12" s="37" t="s">
        <v>170</v>
      </c>
      <c r="I12" s="37" t="s">
        <v>171</v>
      </c>
      <c r="J12" s="37" t="s">
        <v>135</v>
      </c>
      <c r="K12" s="37" t="s">
        <v>172</v>
      </c>
      <c r="L12" s="37" t="s">
        <v>122</v>
      </c>
      <c r="M12" s="37" t="s">
        <v>136</v>
      </c>
      <c r="N12" s="37" t="s">
        <v>58</v>
      </c>
      <c r="O12" s="37" t="s">
        <v>122</v>
      </c>
      <c r="P12" s="37" t="s">
        <v>173</v>
      </c>
      <c r="Q12" s="37" t="s">
        <v>174</v>
      </c>
      <c r="R12" s="37" t="s">
        <v>61</v>
      </c>
      <c r="S12" s="37" t="s">
        <v>127</v>
      </c>
      <c r="T12" s="37" t="s">
        <v>175</v>
      </c>
      <c r="U12" s="37" t="s">
        <v>128</v>
      </c>
      <c r="V12" s="37" t="s">
        <v>58</v>
      </c>
      <c r="W12" s="37" t="s">
        <v>122</v>
      </c>
      <c r="X12" s="37"/>
      <c r="Y12" s="37"/>
      <c r="Z12" s="37"/>
      <c r="AA12" s="37">
        <v>0.2</v>
      </c>
    </row>
    <row r="13" spans="1:27" x14ac:dyDescent="0.25">
      <c r="A13" s="37" t="s">
        <v>154</v>
      </c>
      <c r="B13" s="37" t="s">
        <v>176</v>
      </c>
      <c r="C13" s="37" t="s">
        <v>177</v>
      </c>
      <c r="D13" s="37" t="s">
        <v>178</v>
      </c>
      <c r="E13" s="37" t="s">
        <v>133</v>
      </c>
      <c r="F13" s="37" t="s">
        <v>179</v>
      </c>
      <c r="G13" s="37" t="s">
        <v>119</v>
      </c>
      <c r="H13" s="37" t="s">
        <v>170</v>
      </c>
      <c r="I13" s="37" t="s">
        <v>180</v>
      </c>
      <c r="J13" s="37" t="s">
        <v>135</v>
      </c>
      <c r="K13" s="37" t="s">
        <v>58</v>
      </c>
      <c r="L13" s="37" t="s">
        <v>122</v>
      </c>
      <c r="M13" s="37" t="s">
        <v>136</v>
      </c>
      <c r="N13" s="37" t="s">
        <v>58</v>
      </c>
      <c r="O13" s="37" t="s">
        <v>122</v>
      </c>
      <c r="P13" s="37" t="s">
        <v>181</v>
      </c>
      <c r="Q13" s="37"/>
      <c r="R13" s="37"/>
      <c r="S13" s="37"/>
      <c r="T13" s="37"/>
      <c r="U13" s="37" t="s">
        <v>128</v>
      </c>
      <c r="V13" s="37" t="s">
        <v>58</v>
      </c>
      <c r="W13" s="37" t="s">
        <v>122</v>
      </c>
      <c r="X13" s="37" t="s">
        <v>136</v>
      </c>
      <c r="Y13" s="37" t="s">
        <v>58</v>
      </c>
      <c r="Z13" s="37" t="s">
        <v>182</v>
      </c>
      <c r="AA13" s="37">
        <v>0.2</v>
      </c>
    </row>
    <row r="14" spans="1:27" x14ac:dyDescent="0.25">
      <c r="A14" s="37" t="s">
        <v>154</v>
      </c>
      <c r="B14" s="37" t="s">
        <v>183</v>
      </c>
      <c r="C14" s="37" t="s">
        <v>184</v>
      </c>
      <c r="D14" s="37" t="s">
        <v>185</v>
      </c>
      <c r="E14" s="37" t="s">
        <v>133</v>
      </c>
      <c r="F14" s="37"/>
      <c r="G14" s="37" t="s">
        <v>119</v>
      </c>
      <c r="H14" s="37" t="s">
        <v>68</v>
      </c>
      <c r="I14" s="37" t="s">
        <v>186</v>
      </c>
      <c r="J14" s="37" t="s">
        <v>135</v>
      </c>
      <c r="K14" s="37" t="s">
        <v>68</v>
      </c>
      <c r="L14" s="37" t="s">
        <v>122</v>
      </c>
      <c r="M14" s="37" t="s">
        <v>136</v>
      </c>
      <c r="N14" s="37" t="s">
        <v>187</v>
      </c>
      <c r="O14" s="37" t="s">
        <v>122</v>
      </c>
      <c r="P14" s="37"/>
      <c r="Q14" s="37"/>
      <c r="R14" s="37"/>
      <c r="S14" s="37"/>
      <c r="T14" s="37"/>
      <c r="U14" s="37" t="s">
        <v>128</v>
      </c>
      <c r="V14" s="37" t="s">
        <v>187</v>
      </c>
      <c r="W14" s="37" t="s">
        <v>122</v>
      </c>
      <c r="X14" s="37"/>
      <c r="Y14" s="37"/>
      <c r="Z14" s="37"/>
      <c r="AA14" s="37">
        <v>0.2</v>
      </c>
    </row>
    <row r="15" spans="1:27" x14ac:dyDescent="0.25">
      <c r="A15" s="37" t="s">
        <v>188</v>
      </c>
      <c r="B15" s="37" t="s">
        <v>130</v>
      </c>
      <c r="C15" s="37" t="s">
        <v>189</v>
      </c>
      <c r="D15" s="37" t="s">
        <v>132</v>
      </c>
      <c r="E15" s="37" t="s">
        <v>133</v>
      </c>
      <c r="F15" s="37" t="s">
        <v>190</v>
      </c>
      <c r="G15" s="37" t="s">
        <v>119</v>
      </c>
      <c r="H15" s="37" t="s">
        <v>58</v>
      </c>
      <c r="I15" s="37" t="s">
        <v>191</v>
      </c>
      <c r="J15" s="37" t="s">
        <v>135</v>
      </c>
      <c r="K15" s="37" t="s">
        <v>61</v>
      </c>
      <c r="L15" s="37" t="s">
        <v>122</v>
      </c>
      <c r="M15" s="37" t="s">
        <v>136</v>
      </c>
      <c r="N15" s="37" t="s">
        <v>137</v>
      </c>
      <c r="O15" s="37" t="s">
        <v>122</v>
      </c>
      <c r="P15" s="37"/>
      <c r="Q15" s="37"/>
      <c r="R15" s="37"/>
      <c r="S15" s="37"/>
      <c r="T15" s="37"/>
      <c r="U15" s="37" t="s">
        <v>128</v>
      </c>
      <c r="V15" s="37" t="s">
        <v>137</v>
      </c>
      <c r="W15" s="37" t="s">
        <v>122</v>
      </c>
      <c r="X15" s="37" t="s">
        <v>136</v>
      </c>
      <c r="Y15" s="37" t="s">
        <v>137</v>
      </c>
      <c r="Z15" s="37"/>
      <c r="AA15" s="37">
        <v>0.2</v>
      </c>
    </row>
    <row r="16" spans="1:27" x14ac:dyDescent="0.25">
      <c r="A16" s="37" t="s">
        <v>192</v>
      </c>
      <c r="B16" s="37" t="s">
        <v>130</v>
      </c>
      <c r="C16" s="37" t="s">
        <v>193</v>
      </c>
      <c r="D16" s="37" t="s">
        <v>132</v>
      </c>
      <c r="E16" s="37" t="s">
        <v>194</v>
      </c>
      <c r="F16" s="37"/>
      <c r="G16" s="37" t="s">
        <v>119</v>
      </c>
      <c r="H16" s="37" t="s">
        <v>194</v>
      </c>
      <c r="I16" s="37" t="s">
        <v>195</v>
      </c>
      <c r="J16" s="37" t="s">
        <v>135</v>
      </c>
      <c r="K16" s="37" t="s">
        <v>61</v>
      </c>
      <c r="L16" s="37" t="s">
        <v>122</v>
      </c>
      <c r="M16" s="37" t="s">
        <v>136</v>
      </c>
      <c r="N16" s="37" t="s">
        <v>137</v>
      </c>
      <c r="O16" s="37" t="s">
        <v>122</v>
      </c>
      <c r="P16" s="37"/>
      <c r="Q16" s="37"/>
      <c r="R16" s="37"/>
      <c r="S16" s="37"/>
      <c r="T16" s="37"/>
      <c r="U16" s="37" t="s">
        <v>128</v>
      </c>
      <c r="V16" s="37" t="s">
        <v>137</v>
      </c>
      <c r="W16" s="37" t="s">
        <v>122</v>
      </c>
      <c r="X16" s="37" t="s">
        <v>136</v>
      </c>
      <c r="Y16" s="37" t="s">
        <v>137</v>
      </c>
      <c r="Z16" s="37"/>
      <c r="AA16" s="37">
        <v>0.2</v>
      </c>
    </row>
    <row r="17" spans="1:27" x14ac:dyDescent="0.25">
      <c r="A17" s="37" t="s">
        <v>196</v>
      </c>
      <c r="B17" s="37" t="s">
        <v>130</v>
      </c>
      <c r="C17" s="37" t="s">
        <v>197</v>
      </c>
      <c r="D17" s="37" t="s">
        <v>146</v>
      </c>
      <c r="E17" s="37" t="s">
        <v>194</v>
      </c>
      <c r="F17" s="37"/>
      <c r="G17" s="37" t="s">
        <v>147</v>
      </c>
      <c r="H17" s="37" t="s">
        <v>58</v>
      </c>
      <c r="I17" s="37" t="s">
        <v>148</v>
      </c>
      <c r="J17" s="37" t="s">
        <v>149</v>
      </c>
      <c r="K17" s="37" t="s">
        <v>58</v>
      </c>
      <c r="L17" s="37" t="s">
        <v>122</v>
      </c>
      <c r="M17" s="37" t="s">
        <v>136</v>
      </c>
      <c r="N17" s="37" t="s">
        <v>58</v>
      </c>
      <c r="O17" s="37" t="s">
        <v>122</v>
      </c>
      <c r="P17" s="37"/>
      <c r="Q17" s="37"/>
      <c r="R17" s="37"/>
      <c r="S17" s="37"/>
      <c r="T17" s="37"/>
      <c r="U17" s="37" t="s">
        <v>128</v>
      </c>
      <c r="V17" s="37" t="s">
        <v>58</v>
      </c>
      <c r="W17" s="37" t="s">
        <v>122</v>
      </c>
      <c r="X17" s="37"/>
      <c r="Y17" s="37"/>
      <c r="Z17" s="37"/>
      <c r="AA17" s="37">
        <v>0.2</v>
      </c>
    </row>
    <row r="18" spans="1:27" x14ac:dyDescent="0.25">
      <c r="A18" s="37" t="s">
        <v>198</v>
      </c>
      <c r="B18" s="37" t="s">
        <v>130</v>
      </c>
      <c r="C18" s="37" t="s">
        <v>199</v>
      </c>
      <c r="D18" s="37" t="s">
        <v>146</v>
      </c>
      <c r="E18" s="37" t="s">
        <v>194</v>
      </c>
      <c r="F18" s="37"/>
      <c r="G18" s="37" t="s">
        <v>147</v>
      </c>
      <c r="H18" s="37" t="s">
        <v>58</v>
      </c>
      <c r="I18" s="37" t="s">
        <v>148</v>
      </c>
      <c r="J18" s="37" t="s">
        <v>149</v>
      </c>
      <c r="K18" s="37" t="s">
        <v>58</v>
      </c>
      <c r="L18" s="37" t="s">
        <v>122</v>
      </c>
      <c r="M18" s="37" t="s">
        <v>136</v>
      </c>
      <c r="N18" s="37" t="s">
        <v>58</v>
      </c>
      <c r="O18" s="37" t="s">
        <v>122</v>
      </c>
      <c r="P18" s="37"/>
      <c r="Q18" s="37"/>
      <c r="R18" s="37"/>
      <c r="S18" s="37"/>
      <c r="T18" s="37"/>
      <c r="U18" s="37" t="s">
        <v>128</v>
      </c>
      <c r="V18" s="37" t="s">
        <v>58</v>
      </c>
      <c r="W18" s="37" t="s">
        <v>122</v>
      </c>
      <c r="X18" s="37"/>
      <c r="Y18" s="37"/>
      <c r="Z18" s="37"/>
      <c r="AA18" s="37">
        <v>0.2</v>
      </c>
    </row>
    <row r="19" spans="1:27" x14ac:dyDescent="0.25">
      <c r="A19" s="37" t="s">
        <v>200</v>
      </c>
      <c r="B19" s="37" t="s">
        <v>130</v>
      </c>
      <c r="C19" s="37" t="s">
        <v>201</v>
      </c>
      <c r="D19" s="37" t="s">
        <v>146</v>
      </c>
      <c r="E19" s="37" t="s">
        <v>194</v>
      </c>
      <c r="F19" s="37"/>
      <c r="G19" s="37" t="s">
        <v>147</v>
      </c>
      <c r="H19" s="37" t="s">
        <v>58</v>
      </c>
      <c r="I19" s="37" t="s">
        <v>148</v>
      </c>
      <c r="J19" s="37" t="s">
        <v>149</v>
      </c>
      <c r="K19" s="37" t="s">
        <v>58</v>
      </c>
      <c r="L19" s="37" t="s">
        <v>122</v>
      </c>
      <c r="M19" s="37" t="s">
        <v>136</v>
      </c>
      <c r="N19" s="37" t="s">
        <v>58</v>
      </c>
      <c r="O19" s="37" t="s">
        <v>122</v>
      </c>
      <c r="P19" s="37"/>
      <c r="Q19" s="37"/>
      <c r="R19" s="37"/>
      <c r="S19" s="37"/>
      <c r="T19" s="37"/>
      <c r="U19" s="37" t="s">
        <v>128</v>
      </c>
      <c r="V19" s="37" t="s">
        <v>58</v>
      </c>
      <c r="W19" s="37" t="s">
        <v>122</v>
      </c>
      <c r="X19" s="37" t="s">
        <v>136</v>
      </c>
      <c r="Y19" s="37" t="s">
        <v>58</v>
      </c>
      <c r="Z19" s="37"/>
      <c r="AA19" s="37">
        <v>0.2</v>
      </c>
    </row>
    <row r="20" spans="1:27" x14ac:dyDescent="0.25">
      <c r="A20" s="37" t="s">
        <v>202</v>
      </c>
      <c r="B20" s="37" t="s">
        <v>130</v>
      </c>
      <c r="C20" s="37" t="s">
        <v>203</v>
      </c>
      <c r="D20" s="37" t="s">
        <v>132</v>
      </c>
      <c r="E20" s="37" t="s">
        <v>194</v>
      </c>
      <c r="F20" s="37"/>
      <c r="G20" s="37" t="s">
        <v>119</v>
      </c>
      <c r="H20" s="37" t="s">
        <v>194</v>
      </c>
      <c r="I20" s="37" t="s">
        <v>204</v>
      </c>
      <c r="J20" s="37" t="s">
        <v>135</v>
      </c>
      <c r="K20" s="37" t="s">
        <v>61</v>
      </c>
      <c r="L20" s="37" t="s">
        <v>122</v>
      </c>
      <c r="M20" s="37" t="s">
        <v>136</v>
      </c>
      <c r="N20" s="37" t="s">
        <v>137</v>
      </c>
      <c r="O20" s="37" t="s">
        <v>122</v>
      </c>
      <c r="P20" s="37"/>
      <c r="Q20" s="37"/>
      <c r="R20" s="37"/>
      <c r="S20" s="37"/>
      <c r="T20" s="37"/>
      <c r="U20" s="37" t="s">
        <v>128</v>
      </c>
      <c r="V20" s="37" t="s">
        <v>137</v>
      </c>
      <c r="W20" s="37" t="s">
        <v>122</v>
      </c>
      <c r="X20" s="37" t="s">
        <v>136</v>
      </c>
      <c r="Y20" s="37" t="s">
        <v>137</v>
      </c>
      <c r="Z20" s="37"/>
      <c r="AA20" s="37">
        <v>0.2</v>
      </c>
    </row>
    <row r="21" spans="1:27" x14ac:dyDescent="0.25">
      <c r="A21" s="37" t="s">
        <v>202</v>
      </c>
      <c r="B21" s="37" t="s">
        <v>205</v>
      </c>
      <c r="C21" s="37" t="s">
        <v>206</v>
      </c>
      <c r="D21" s="37" t="s">
        <v>158</v>
      </c>
      <c r="E21" s="37" t="s">
        <v>194</v>
      </c>
      <c r="F21" s="37"/>
      <c r="G21" s="37" t="s">
        <v>119</v>
      </c>
      <c r="H21" s="37" t="s">
        <v>159</v>
      </c>
      <c r="I21" s="37" t="s">
        <v>207</v>
      </c>
      <c r="J21" s="37" t="s">
        <v>121</v>
      </c>
      <c r="K21" s="37" t="s">
        <v>159</v>
      </c>
      <c r="L21" s="37" t="s">
        <v>122</v>
      </c>
      <c r="M21" s="37" t="s">
        <v>136</v>
      </c>
      <c r="N21" s="37" t="s">
        <v>161</v>
      </c>
      <c r="O21" s="37" t="s">
        <v>122</v>
      </c>
      <c r="P21" s="37"/>
      <c r="Q21" s="37"/>
      <c r="R21" s="37"/>
      <c r="S21" s="37"/>
      <c r="T21" s="37"/>
      <c r="U21" s="37" t="s">
        <v>128</v>
      </c>
      <c r="V21" s="37" t="s">
        <v>161</v>
      </c>
      <c r="W21" s="37" t="s">
        <v>122</v>
      </c>
      <c r="X21" s="37"/>
      <c r="Y21" s="37"/>
      <c r="Z21" s="37"/>
      <c r="AA21" s="37">
        <v>0.2</v>
      </c>
    </row>
    <row r="22" spans="1:27" x14ac:dyDescent="0.25">
      <c r="A22" s="37" t="s">
        <v>208</v>
      </c>
      <c r="B22" s="37" t="s">
        <v>209</v>
      </c>
      <c r="C22" s="37" t="s">
        <v>210</v>
      </c>
      <c r="D22" s="37" t="s">
        <v>185</v>
      </c>
      <c r="E22" s="37" t="s">
        <v>194</v>
      </c>
      <c r="F22" s="37"/>
      <c r="G22" s="37" t="s">
        <v>119</v>
      </c>
      <c r="H22" s="37" t="s">
        <v>68</v>
      </c>
      <c r="I22" s="37" t="s">
        <v>211</v>
      </c>
      <c r="J22" s="37" t="s">
        <v>135</v>
      </c>
      <c r="K22" s="37" t="s">
        <v>68</v>
      </c>
      <c r="L22" s="37" t="s">
        <v>122</v>
      </c>
      <c r="M22" s="37" t="s">
        <v>136</v>
      </c>
      <c r="N22" s="37" t="s">
        <v>187</v>
      </c>
      <c r="O22" s="37" t="s">
        <v>122</v>
      </c>
      <c r="P22" s="37"/>
      <c r="Q22" s="37"/>
      <c r="R22" s="37"/>
      <c r="S22" s="37"/>
      <c r="T22" s="37"/>
      <c r="U22" s="37" t="s">
        <v>128</v>
      </c>
      <c r="V22" s="37" t="s">
        <v>187</v>
      </c>
      <c r="W22" s="37" t="s">
        <v>122</v>
      </c>
      <c r="X22" s="37"/>
      <c r="Y22" s="37"/>
      <c r="Z22" s="37"/>
      <c r="AA22" s="37">
        <v>0.2</v>
      </c>
    </row>
    <row r="23" spans="1:27" x14ac:dyDescent="0.25">
      <c r="A23" s="37" t="s">
        <v>212</v>
      </c>
      <c r="B23" s="37" t="s">
        <v>167</v>
      </c>
      <c r="C23" s="37" t="s">
        <v>213</v>
      </c>
      <c r="D23" s="37" t="s">
        <v>214</v>
      </c>
      <c r="E23" s="37" t="s">
        <v>215</v>
      </c>
      <c r="F23" s="37"/>
      <c r="G23" s="37" t="s">
        <v>119</v>
      </c>
      <c r="H23" s="37" t="s">
        <v>216</v>
      </c>
      <c r="I23" s="37" t="s">
        <v>217</v>
      </c>
      <c r="J23" s="37" t="s">
        <v>135</v>
      </c>
      <c r="K23" s="37" t="s">
        <v>172</v>
      </c>
      <c r="L23" s="37" t="s">
        <v>122</v>
      </c>
      <c r="M23" s="37" t="s">
        <v>136</v>
      </c>
      <c r="N23" s="37" t="s">
        <v>137</v>
      </c>
      <c r="O23" s="37" t="s">
        <v>122</v>
      </c>
      <c r="P23" s="37" t="s">
        <v>218</v>
      </c>
      <c r="Q23" s="37" t="s">
        <v>174</v>
      </c>
      <c r="R23" s="37" t="s">
        <v>219</v>
      </c>
      <c r="S23" s="37" t="s">
        <v>127</v>
      </c>
      <c r="T23" s="37" t="s">
        <v>127</v>
      </c>
      <c r="U23" s="37" t="s">
        <v>128</v>
      </c>
      <c r="V23" s="37" t="s">
        <v>137</v>
      </c>
      <c r="W23" s="37" t="s">
        <v>122</v>
      </c>
      <c r="X23" s="37"/>
      <c r="Y23" s="37"/>
      <c r="Z23" s="37"/>
      <c r="AA23" s="37">
        <v>0.2</v>
      </c>
    </row>
    <row r="24" spans="1:27" x14ac:dyDescent="0.25">
      <c r="A24" s="37" t="s">
        <v>212</v>
      </c>
      <c r="B24" s="37" t="s">
        <v>130</v>
      </c>
      <c r="C24" s="37" t="s">
        <v>220</v>
      </c>
      <c r="D24" s="37" t="s">
        <v>146</v>
      </c>
      <c r="E24" s="37" t="s">
        <v>215</v>
      </c>
      <c r="F24" s="37"/>
      <c r="G24" s="37" t="s">
        <v>147</v>
      </c>
      <c r="H24" s="37" t="s">
        <v>58</v>
      </c>
      <c r="I24" s="37" t="s">
        <v>148</v>
      </c>
      <c r="J24" s="37" t="s">
        <v>149</v>
      </c>
      <c r="K24" s="37" t="s">
        <v>58</v>
      </c>
      <c r="L24" s="37" t="s">
        <v>122</v>
      </c>
      <c r="M24" s="37" t="s">
        <v>136</v>
      </c>
      <c r="N24" s="37" t="s">
        <v>58</v>
      </c>
      <c r="O24" s="37" t="s">
        <v>122</v>
      </c>
      <c r="P24" s="37"/>
      <c r="Q24" s="37"/>
      <c r="R24" s="37"/>
      <c r="S24" s="37"/>
      <c r="T24" s="37"/>
      <c r="U24" s="37" t="s">
        <v>128</v>
      </c>
      <c r="V24" s="37" t="s">
        <v>58</v>
      </c>
      <c r="W24" s="37" t="s">
        <v>122</v>
      </c>
      <c r="X24" s="37" t="s">
        <v>136</v>
      </c>
      <c r="Y24" s="37" t="s">
        <v>58</v>
      </c>
      <c r="Z24" s="37"/>
      <c r="AA24" s="37">
        <v>0.2</v>
      </c>
    </row>
    <row r="25" spans="1:27" x14ac:dyDescent="0.25">
      <c r="A25" s="37" t="s">
        <v>221</v>
      </c>
      <c r="B25" s="37" t="s">
        <v>130</v>
      </c>
      <c r="C25" s="37" t="s">
        <v>222</v>
      </c>
      <c r="D25" s="37" t="s">
        <v>132</v>
      </c>
      <c r="E25" s="37" t="s">
        <v>215</v>
      </c>
      <c r="F25" s="37"/>
      <c r="G25" s="37" t="s">
        <v>119</v>
      </c>
      <c r="H25" s="37" t="s">
        <v>58</v>
      </c>
      <c r="I25" s="37" t="s">
        <v>223</v>
      </c>
      <c r="J25" s="37" t="s">
        <v>135</v>
      </c>
      <c r="K25" s="37" t="s">
        <v>61</v>
      </c>
      <c r="L25" s="37" t="s">
        <v>122</v>
      </c>
      <c r="M25" s="37" t="s">
        <v>136</v>
      </c>
      <c r="N25" s="37" t="s">
        <v>137</v>
      </c>
      <c r="O25" s="37" t="s">
        <v>122</v>
      </c>
      <c r="P25" s="37"/>
      <c r="Q25" s="37"/>
      <c r="R25" s="37"/>
      <c r="S25" s="37"/>
      <c r="T25" s="37"/>
      <c r="U25" s="37" t="s">
        <v>128</v>
      </c>
      <c r="V25" s="37" t="s">
        <v>137</v>
      </c>
      <c r="W25" s="37" t="s">
        <v>122</v>
      </c>
      <c r="X25" s="37" t="s">
        <v>136</v>
      </c>
      <c r="Y25" s="37" t="s">
        <v>137</v>
      </c>
      <c r="Z25" s="37"/>
      <c r="AA25" s="37">
        <v>0.2</v>
      </c>
    </row>
    <row r="26" spans="1:27" x14ac:dyDescent="0.25">
      <c r="A26" s="37" t="s">
        <v>224</v>
      </c>
      <c r="B26" s="37" t="s">
        <v>130</v>
      </c>
      <c r="C26" s="37" t="s">
        <v>225</v>
      </c>
      <c r="D26" s="37" t="s">
        <v>146</v>
      </c>
      <c r="E26" s="37" t="s">
        <v>215</v>
      </c>
      <c r="F26" s="37"/>
      <c r="G26" s="37" t="s">
        <v>147</v>
      </c>
      <c r="H26" s="37" t="s">
        <v>58</v>
      </c>
      <c r="I26" s="37" t="s">
        <v>148</v>
      </c>
      <c r="J26" s="37" t="s">
        <v>149</v>
      </c>
      <c r="K26" s="37" t="s">
        <v>58</v>
      </c>
      <c r="L26" s="37" t="s">
        <v>122</v>
      </c>
      <c r="M26" s="37" t="s">
        <v>136</v>
      </c>
      <c r="N26" s="37" t="s">
        <v>58</v>
      </c>
      <c r="O26" s="37" t="s">
        <v>122</v>
      </c>
      <c r="P26" s="37"/>
      <c r="Q26" s="37"/>
      <c r="R26" s="37"/>
      <c r="S26" s="37"/>
      <c r="T26" s="37"/>
      <c r="U26" s="37" t="s">
        <v>128</v>
      </c>
      <c r="V26" s="37" t="s">
        <v>58</v>
      </c>
      <c r="W26" s="37" t="s">
        <v>122</v>
      </c>
      <c r="X26" s="37" t="s">
        <v>136</v>
      </c>
      <c r="Y26" s="37" t="s">
        <v>58</v>
      </c>
      <c r="Z26" s="37"/>
      <c r="AA26" s="37">
        <v>0.2</v>
      </c>
    </row>
    <row r="27" spans="1:27" x14ac:dyDescent="0.25">
      <c r="A27" s="37" t="s">
        <v>226</v>
      </c>
      <c r="B27" s="37" t="s">
        <v>167</v>
      </c>
      <c r="C27" s="37" t="s">
        <v>227</v>
      </c>
      <c r="D27" s="37" t="s">
        <v>178</v>
      </c>
      <c r="E27" s="37" t="s">
        <v>228</v>
      </c>
      <c r="F27" s="37"/>
      <c r="G27" s="37" t="s">
        <v>119</v>
      </c>
      <c r="H27" s="37" t="s">
        <v>170</v>
      </c>
      <c r="I27" s="37" t="s">
        <v>229</v>
      </c>
      <c r="J27" s="37" t="s">
        <v>149</v>
      </c>
      <c r="K27" s="37" t="s">
        <v>170</v>
      </c>
      <c r="L27" s="37" t="s">
        <v>122</v>
      </c>
      <c r="M27" s="37" t="s">
        <v>136</v>
      </c>
      <c r="N27" s="37" t="s">
        <v>58</v>
      </c>
      <c r="O27" s="37" t="s">
        <v>122</v>
      </c>
      <c r="P27" s="37" t="s">
        <v>218</v>
      </c>
      <c r="Q27" s="37" t="s">
        <v>230</v>
      </c>
      <c r="R27" s="37" t="s">
        <v>81</v>
      </c>
      <c r="S27" s="37" t="s">
        <v>127</v>
      </c>
      <c r="T27" s="37" t="s">
        <v>127</v>
      </c>
      <c r="U27" s="37" t="s">
        <v>128</v>
      </c>
      <c r="V27" s="37" t="s">
        <v>58</v>
      </c>
      <c r="W27" s="37" t="s">
        <v>122</v>
      </c>
      <c r="X27" s="37" t="s">
        <v>136</v>
      </c>
      <c r="Y27" s="37" t="s">
        <v>58</v>
      </c>
      <c r="Z27" s="37" t="s">
        <v>231</v>
      </c>
      <c r="AA27" s="37">
        <v>0.2</v>
      </c>
    </row>
    <row r="28" spans="1:27" x14ac:dyDescent="0.25">
      <c r="A28" s="37" t="s">
        <v>232</v>
      </c>
      <c r="B28" s="37" t="s">
        <v>130</v>
      </c>
      <c r="C28" s="37" t="s">
        <v>233</v>
      </c>
      <c r="D28" s="37" t="s">
        <v>146</v>
      </c>
      <c r="E28" s="37" t="s">
        <v>228</v>
      </c>
      <c r="F28" s="37"/>
      <c r="G28" s="37" t="s">
        <v>147</v>
      </c>
      <c r="H28" s="37" t="s">
        <v>58</v>
      </c>
      <c r="I28" s="37" t="s">
        <v>148</v>
      </c>
      <c r="J28" s="37" t="s">
        <v>149</v>
      </c>
      <c r="K28" s="37" t="s">
        <v>58</v>
      </c>
      <c r="L28" s="37" t="s">
        <v>122</v>
      </c>
      <c r="M28" s="37" t="s">
        <v>136</v>
      </c>
      <c r="N28" s="37" t="s">
        <v>58</v>
      </c>
      <c r="O28" s="37" t="s">
        <v>122</v>
      </c>
      <c r="P28" s="37"/>
      <c r="Q28" s="37"/>
      <c r="R28" s="37"/>
      <c r="S28" s="37"/>
      <c r="T28" s="37"/>
      <c r="U28" s="37" t="s">
        <v>128</v>
      </c>
      <c r="V28" s="37" t="s">
        <v>58</v>
      </c>
      <c r="W28" s="37" t="s">
        <v>122</v>
      </c>
      <c r="X28" s="37" t="s">
        <v>136</v>
      </c>
      <c r="Y28" s="37" t="s">
        <v>78</v>
      </c>
      <c r="Z28" s="37"/>
      <c r="AA28" s="37">
        <v>0.2</v>
      </c>
    </row>
    <row r="29" spans="1:27" x14ac:dyDescent="0.25">
      <c r="A29" s="37" t="s">
        <v>114</v>
      </c>
      <c r="B29" s="37" t="s">
        <v>130</v>
      </c>
      <c r="C29" s="37" t="s">
        <v>234</v>
      </c>
      <c r="D29" s="37" t="s">
        <v>146</v>
      </c>
      <c r="E29" s="37" t="s">
        <v>118</v>
      </c>
      <c r="F29" s="37"/>
      <c r="G29" s="37" t="s">
        <v>147</v>
      </c>
      <c r="H29" s="37" t="s">
        <v>58</v>
      </c>
      <c r="I29" s="37" t="s">
        <v>148</v>
      </c>
      <c r="J29" s="37" t="s">
        <v>149</v>
      </c>
      <c r="K29" s="37" t="s">
        <v>58</v>
      </c>
      <c r="L29" s="37" t="s">
        <v>122</v>
      </c>
      <c r="M29" s="37" t="s">
        <v>136</v>
      </c>
      <c r="N29" s="37" t="s">
        <v>58</v>
      </c>
      <c r="O29" s="37" t="s">
        <v>122</v>
      </c>
      <c r="P29" s="37"/>
      <c r="Q29" s="37"/>
      <c r="R29" s="37"/>
      <c r="S29" s="37"/>
      <c r="T29" s="37"/>
      <c r="U29" s="37" t="s">
        <v>128</v>
      </c>
      <c r="V29" s="37" t="s">
        <v>58</v>
      </c>
      <c r="W29" s="37" t="s">
        <v>122</v>
      </c>
      <c r="X29" s="37" t="s">
        <v>136</v>
      </c>
      <c r="Y29" s="37" t="s">
        <v>58</v>
      </c>
      <c r="Z29" s="37"/>
      <c r="AA29" s="37">
        <v>0.2</v>
      </c>
    </row>
    <row r="30" spans="1:27" x14ac:dyDescent="0.25">
      <c r="A30" s="37" t="s">
        <v>235</v>
      </c>
      <c r="B30" s="37" t="s">
        <v>130</v>
      </c>
      <c r="C30" s="37" t="s">
        <v>236</v>
      </c>
      <c r="D30" s="37" t="s">
        <v>146</v>
      </c>
      <c r="E30" s="37" t="s">
        <v>237</v>
      </c>
      <c r="F30" s="37"/>
      <c r="G30" s="37" t="s">
        <v>147</v>
      </c>
      <c r="H30" s="37" t="s">
        <v>58</v>
      </c>
      <c r="I30" s="37" t="s">
        <v>148</v>
      </c>
      <c r="J30" s="37" t="s">
        <v>149</v>
      </c>
      <c r="K30" s="37" t="s">
        <v>58</v>
      </c>
      <c r="L30" s="37" t="s">
        <v>122</v>
      </c>
      <c r="M30" s="37" t="s">
        <v>136</v>
      </c>
      <c r="N30" s="37" t="s">
        <v>58</v>
      </c>
      <c r="O30" s="37" t="s">
        <v>122</v>
      </c>
      <c r="P30" s="37"/>
      <c r="Q30" s="37"/>
      <c r="R30" s="37"/>
      <c r="S30" s="37"/>
      <c r="T30" s="37"/>
      <c r="U30" s="37" t="s">
        <v>128</v>
      </c>
      <c r="V30" s="37" t="s">
        <v>58</v>
      </c>
      <c r="W30" s="37" t="s">
        <v>122</v>
      </c>
      <c r="X30" s="37" t="s">
        <v>136</v>
      </c>
      <c r="Y30" s="37" t="s">
        <v>58</v>
      </c>
      <c r="Z30" s="37"/>
      <c r="AA30" s="37">
        <v>0.2</v>
      </c>
    </row>
    <row r="31" spans="1:27" x14ac:dyDescent="0.25">
      <c r="A31" s="37" t="s">
        <v>238</v>
      </c>
      <c r="B31" s="37" t="s">
        <v>130</v>
      </c>
      <c r="C31" s="37" t="s">
        <v>239</v>
      </c>
      <c r="D31" s="37" t="s">
        <v>146</v>
      </c>
      <c r="E31" s="37" t="s">
        <v>216</v>
      </c>
      <c r="F31" s="37"/>
      <c r="G31" s="37" t="s">
        <v>147</v>
      </c>
      <c r="H31" s="37" t="s">
        <v>58</v>
      </c>
      <c r="I31" s="37" t="s">
        <v>148</v>
      </c>
      <c r="J31" s="37" t="s">
        <v>149</v>
      </c>
      <c r="K31" s="37" t="s">
        <v>58</v>
      </c>
      <c r="L31" s="37" t="s">
        <v>122</v>
      </c>
      <c r="M31" s="37" t="s">
        <v>136</v>
      </c>
      <c r="N31" s="37" t="s">
        <v>58</v>
      </c>
      <c r="O31" s="37" t="s">
        <v>122</v>
      </c>
      <c r="P31" s="37"/>
      <c r="Q31" s="37"/>
      <c r="R31" s="37"/>
      <c r="S31" s="37"/>
      <c r="T31" s="37"/>
      <c r="U31" s="37" t="s">
        <v>128</v>
      </c>
      <c r="V31" s="37" t="s">
        <v>58</v>
      </c>
      <c r="W31" s="37" t="s">
        <v>122</v>
      </c>
      <c r="X31" s="37"/>
      <c r="Y31" s="37"/>
      <c r="Z31" s="37"/>
      <c r="AA31" s="37">
        <v>0.2</v>
      </c>
    </row>
    <row r="32" spans="1:27" x14ac:dyDescent="0.25">
      <c r="A32" s="37" t="s">
        <v>238</v>
      </c>
      <c r="B32" s="37" t="s">
        <v>183</v>
      </c>
      <c r="C32" s="37" t="s">
        <v>240</v>
      </c>
      <c r="D32" s="37" t="s">
        <v>185</v>
      </c>
      <c r="E32" s="37" t="s">
        <v>216</v>
      </c>
      <c r="F32" s="37"/>
      <c r="G32" s="37" t="s">
        <v>119</v>
      </c>
      <c r="H32" s="37" t="s">
        <v>68</v>
      </c>
      <c r="I32" s="37" t="s">
        <v>241</v>
      </c>
      <c r="J32" s="37" t="s">
        <v>135</v>
      </c>
      <c r="K32" s="37" t="s">
        <v>68</v>
      </c>
      <c r="L32" s="37" t="s">
        <v>122</v>
      </c>
      <c r="M32" s="37" t="s">
        <v>136</v>
      </c>
      <c r="N32" s="37" t="s">
        <v>187</v>
      </c>
      <c r="O32" s="37" t="s">
        <v>122</v>
      </c>
      <c r="P32" s="37"/>
      <c r="Q32" s="37"/>
      <c r="R32" s="37"/>
      <c r="S32" s="37"/>
      <c r="T32" s="37"/>
      <c r="U32" s="37" t="s">
        <v>128</v>
      </c>
      <c r="V32" s="37" t="s">
        <v>187</v>
      </c>
      <c r="W32" s="37" t="s">
        <v>122</v>
      </c>
      <c r="X32" s="37"/>
      <c r="Y32" s="37"/>
      <c r="Z32" s="37"/>
      <c r="AA32" s="37">
        <v>0.2</v>
      </c>
    </row>
    <row r="33" spans="1:27" x14ac:dyDescent="0.25">
      <c r="A33" s="37" t="s">
        <v>238</v>
      </c>
      <c r="B33" s="37" t="s">
        <v>242</v>
      </c>
      <c r="C33" s="37" t="s">
        <v>243</v>
      </c>
      <c r="D33" s="37" t="s">
        <v>178</v>
      </c>
      <c r="E33" s="37" t="s">
        <v>216</v>
      </c>
      <c r="F33" s="37"/>
      <c r="G33" s="37" t="s">
        <v>119</v>
      </c>
      <c r="H33" s="37" t="s">
        <v>170</v>
      </c>
      <c r="I33" s="37" t="s">
        <v>244</v>
      </c>
      <c r="J33" s="37" t="s">
        <v>149</v>
      </c>
      <c r="K33" s="37" t="s">
        <v>170</v>
      </c>
      <c r="L33" s="37" t="s">
        <v>122</v>
      </c>
      <c r="M33" s="37" t="s">
        <v>136</v>
      </c>
      <c r="N33" s="37" t="s">
        <v>58</v>
      </c>
      <c r="O33" s="37" t="s">
        <v>122</v>
      </c>
      <c r="P33" s="37" t="s">
        <v>245</v>
      </c>
      <c r="Q33" s="37" t="s">
        <v>246</v>
      </c>
      <c r="R33" s="37"/>
      <c r="S33" s="37"/>
      <c r="T33" s="37"/>
      <c r="U33" s="37" t="s">
        <v>128</v>
      </c>
      <c r="V33" s="37" t="s">
        <v>58</v>
      </c>
      <c r="W33" s="37" t="s">
        <v>122</v>
      </c>
      <c r="X33" s="37" t="s">
        <v>136</v>
      </c>
      <c r="Y33" s="37" t="s">
        <v>58</v>
      </c>
      <c r="Z33" s="37" t="s">
        <v>247</v>
      </c>
      <c r="AA33" s="37">
        <v>0.2</v>
      </c>
    </row>
    <row r="34" spans="1:27" x14ac:dyDescent="0.25">
      <c r="A34" s="37" t="s">
        <v>238</v>
      </c>
      <c r="B34" s="37" t="s">
        <v>248</v>
      </c>
      <c r="C34" s="37" t="s">
        <v>249</v>
      </c>
      <c r="D34" s="37" t="s">
        <v>117</v>
      </c>
      <c r="E34" s="37" t="s">
        <v>216</v>
      </c>
      <c r="F34" s="37"/>
      <c r="G34" s="37" t="s">
        <v>119</v>
      </c>
      <c r="H34" s="37" t="s">
        <v>61</v>
      </c>
      <c r="I34" s="37" t="s">
        <v>250</v>
      </c>
      <c r="J34" s="37" t="s">
        <v>121</v>
      </c>
      <c r="K34" s="37" t="s">
        <v>61</v>
      </c>
      <c r="L34" s="37" t="s">
        <v>122</v>
      </c>
      <c r="M34" s="37" t="s">
        <v>123</v>
      </c>
      <c r="N34" s="37" t="s">
        <v>61</v>
      </c>
      <c r="O34" s="37" t="s">
        <v>122</v>
      </c>
      <c r="P34" s="37" t="s">
        <v>124</v>
      </c>
      <c r="Q34" s="37" t="s">
        <v>165</v>
      </c>
      <c r="R34" s="37" t="s">
        <v>166</v>
      </c>
      <c r="S34" s="37" t="s">
        <v>127</v>
      </c>
      <c r="T34" s="37"/>
      <c r="U34" s="37" t="s">
        <v>128</v>
      </c>
      <c r="V34" s="37" t="s">
        <v>61</v>
      </c>
      <c r="W34" s="37" t="s">
        <v>122</v>
      </c>
      <c r="X34" s="37"/>
      <c r="Y34" s="37"/>
      <c r="Z34" s="37"/>
      <c r="AA34" s="37">
        <v>0.2</v>
      </c>
    </row>
    <row r="35" spans="1:27" x14ac:dyDescent="0.25">
      <c r="A35" s="37" t="s">
        <v>238</v>
      </c>
      <c r="B35" s="37" t="s">
        <v>251</v>
      </c>
      <c r="C35" s="37" t="s">
        <v>252</v>
      </c>
      <c r="D35" s="37" t="s">
        <v>117</v>
      </c>
      <c r="E35" s="37" t="s">
        <v>216</v>
      </c>
      <c r="F35" s="37"/>
      <c r="G35" s="37" t="s">
        <v>119</v>
      </c>
      <c r="H35" s="37" t="s">
        <v>61</v>
      </c>
      <c r="I35" s="37" t="s">
        <v>253</v>
      </c>
      <c r="J35" s="37" t="s">
        <v>121</v>
      </c>
      <c r="K35" s="37" t="s">
        <v>61</v>
      </c>
      <c r="L35" s="37" t="s">
        <v>122</v>
      </c>
      <c r="M35" s="37" t="s">
        <v>123</v>
      </c>
      <c r="N35" s="37" t="s">
        <v>61</v>
      </c>
      <c r="O35" s="37" t="s">
        <v>122</v>
      </c>
      <c r="P35" s="37" t="s">
        <v>124</v>
      </c>
      <c r="Q35" s="37" t="s">
        <v>165</v>
      </c>
      <c r="R35" s="37" t="s">
        <v>166</v>
      </c>
      <c r="S35" s="37" t="s">
        <v>127</v>
      </c>
      <c r="T35" s="37" t="s">
        <v>175</v>
      </c>
      <c r="U35" s="37" t="s">
        <v>128</v>
      </c>
      <c r="V35" s="37" t="s">
        <v>61</v>
      </c>
      <c r="W35" s="37" t="s">
        <v>122</v>
      </c>
      <c r="X35" s="37"/>
      <c r="Y35" s="37"/>
      <c r="Z35" s="37"/>
      <c r="AA35" s="37">
        <v>0.2</v>
      </c>
    </row>
    <row r="36" spans="1:27" x14ac:dyDescent="0.25">
      <c r="A36" s="37" t="s">
        <v>238</v>
      </c>
      <c r="B36" s="37" t="s">
        <v>162</v>
      </c>
      <c r="C36" s="37" t="s">
        <v>254</v>
      </c>
      <c r="D36" s="37" t="s">
        <v>117</v>
      </c>
      <c r="E36" s="37" t="s">
        <v>216</v>
      </c>
      <c r="F36" s="37"/>
      <c r="G36" s="37" t="s">
        <v>119</v>
      </c>
      <c r="H36" s="37" t="s">
        <v>61</v>
      </c>
      <c r="I36" s="37" t="s">
        <v>253</v>
      </c>
      <c r="J36" s="37" t="s">
        <v>121</v>
      </c>
      <c r="K36" s="37" t="s">
        <v>61</v>
      </c>
      <c r="L36" s="37" t="s">
        <v>122</v>
      </c>
      <c r="M36" s="37" t="s">
        <v>123</v>
      </c>
      <c r="N36" s="37" t="s">
        <v>61</v>
      </c>
      <c r="O36" s="37" t="s">
        <v>122</v>
      </c>
      <c r="P36" s="37" t="s">
        <v>124</v>
      </c>
      <c r="Q36" s="37" t="s">
        <v>165</v>
      </c>
      <c r="R36" s="37" t="s">
        <v>166</v>
      </c>
      <c r="S36" s="37" t="s">
        <v>127</v>
      </c>
      <c r="T36" s="37" t="s">
        <v>175</v>
      </c>
      <c r="U36" s="37" t="s">
        <v>128</v>
      </c>
      <c r="V36" s="37" t="s">
        <v>61</v>
      </c>
      <c r="W36" s="37" t="s">
        <v>122</v>
      </c>
      <c r="X36" s="37"/>
      <c r="Y36" s="37"/>
      <c r="Z36" s="37"/>
      <c r="AA36" s="37">
        <v>0.2</v>
      </c>
    </row>
    <row r="37" spans="1:27" x14ac:dyDescent="0.25">
      <c r="A37" s="37" t="s">
        <v>255</v>
      </c>
      <c r="B37" s="37" t="s">
        <v>115</v>
      </c>
      <c r="C37" s="37" t="s">
        <v>256</v>
      </c>
      <c r="D37" s="37" t="s">
        <v>158</v>
      </c>
      <c r="E37" s="37" t="s">
        <v>216</v>
      </c>
      <c r="F37" s="37"/>
      <c r="G37" s="37" t="s">
        <v>119</v>
      </c>
      <c r="H37" s="37" t="s">
        <v>159</v>
      </c>
      <c r="I37" s="37" t="s">
        <v>257</v>
      </c>
      <c r="J37" s="37" t="s">
        <v>121</v>
      </c>
      <c r="K37" s="37" t="s">
        <v>159</v>
      </c>
      <c r="L37" s="37" t="s">
        <v>122</v>
      </c>
      <c r="M37" s="37" t="s">
        <v>136</v>
      </c>
      <c r="N37" s="37" t="s">
        <v>166</v>
      </c>
      <c r="O37" s="37" t="s">
        <v>122</v>
      </c>
      <c r="P37" s="37" t="s">
        <v>258</v>
      </c>
      <c r="Q37" s="37" t="s">
        <v>125</v>
      </c>
      <c r="R37" s="37" t="s">
        <v>64</v>
      </c>
      <c r="S37" s="37" t="s">
        <v>127</v>
      </c>
      <c r="T37" s="37" t="s">
        <v>127</v>
      </c>
      <c r="U37" s="37" t="s">
        <v>128</v>
      </c>
      <c r="V37" s="37" t="s">
        <v>166</v>
      </c>
      <c r="W37" s="37" t="s">
        <v>122</v>
      </c>
      <c r="X37" s="37"/>
      <c r="Y37" s="37"/>
      <c r="Z37" s="37"/>
      <c r="AA37" s="37">
        <v>0.2</v>
      </c>
    </row>
    <row r="38" spans="1:27" x14ac:dyDescent="0.25">
      <c r="A38" s="37" t="s">
        <v>238</v>
      </c>
      <c r="B38" s="37" t="s">
        <v>259</v>
      </c>
      <c r="C38" s="37" t="s">
        <v>260</v>
      </c>
      <c r="D38" s="37" t="s">
        <v>158</v>
      </c>
      <c r="E38" s="37" t="s">
        <v>216</v>
      </c>
      <c r="F38" s="37"/>
      <c r="G38" s="37" t="s">
        <v>119</v>
      </c>
      <c r="H38" s="37" t="s">
        <v>159</v>
      </c>
      <c r="I38" s="37" t="s">
        <v>261</v>
      </c>
      <c r="J38" s="37" t="s">
        <v>121</v>
      </c>
      <c r="K38" s="37" t="s">
        <v>159</v>
      </c>
      <c r="L38" s="37" t="s">
        <v>122</v>
      </c>
      <c r="M38" s="37" t="s">
        <v>136</v>
      </c>
      <c r="N38" s="37" t="s">
        <v>166</v>
      </c>
      <c r="O38" s="37" t="s">
        <v>122</v>
      </c>
      <c r="P38" s="37"/>
      <c r="Q38" s="37"/>
      <c r="R38" s="37"/>
      <c r="S38" s="37"/>
      <c r="T38" s="37"/>
      <c r="U38" s="37" t="s">
        <v>128</v>
      </c>
      <c r="V38" s="37" t="s">
        <v>166</v>
      </c>
      <c r="W38" s="37" t="s">
        <v>122</v>
      </c>
      <c r="X38" s="37" t="s">
        <v>136</v>
      </c>
      <c r="Y38" s="37" t="s">
        <v>166</v>
      </c>
      <c r="Z38" s="37"/>
      <c r="AA38" s="37">
        <v>0.2</v>
      </c>
    </row>
    <row r="39" spans="1:27" x14ac:dyDescent="0.25">
      <c r="A39" s="37" t="s">
        <v>262</v>
      </c>
      <c r="B39" s="37" t="s">
        <v>183</v>
      </c>
      <c r="C39" s="37" t="s">
        <v>263</v>
      </c>
      <c r="D39" s="37" t="s">
        <v>185</v>
      </c>
      <c r="E39" s="37" t="s">
        <v>170</v>
      </c>
      <c r="F39" s="37"/>
      <c r="G39" s="37" t="s">
        <v>119</v>
      </c>
      <c r="H39" s="37" t="s">
        <v>68</v>
      </c>
      <c r="I39" s="37" t="s">
        <v>264</v>
      </c>
      <c r="J39" s="37" t="s">
        <v>135</v>
      </c>
      <c r="K39" s="37" t="s">
        <v>68</v>
      </c>
      <c r="L39" s="37" t="s">
        <v>122</v>
      </c>
      <c r="M39" s="37" t="s">
        <v>136</v>
      </c>
      <c r="N39" s="37" t="s">
        <v>187</v>
      </c>
      <c r="O39" s="37" t="s">
        <v>122</v>
      </c>
      <c r="P39" s="37"/>
      <c r="Q39" s="37"/>
      <c r="R39" s="37"/>
      <c r="S39" s="37"/>
      <c r="T39" s="37"/>
      <c r="U39" s="37" t="s">
        <v>128</v>
      </c>
      <c r="V39" s="37" t="s">
        <v>187</v>
      </c>
      <c r="W39" s="37" t="s">
        <v>122</v>
      </c>
      <c r="X39" s="37"/>
      <c r="Y39" s="37"/>
      <c r="Z39" s="37"/>
      <c r="AA39" s="37">
        <v>0.2</v>
      </c>
    </row>
    <row r="40" spans="1:27" x14ac:dyDescent="0.25">
      <c r="A40" s="37" t="s">
        <v>262</v>
      </c>
      <c r="B40" s="37" t="s">
        <v>130</v>
      </c>
      <c r="C40" s="37" t="s">
        <v>265</v>
      </c>
      <c r="D40" s="37" t="s">
        <v>146</v>
      </c>
      <c r="E40" s="37" t="s">
        <v>170</v>
      </c>
      <c r="F40" s="37"/>
      <c r="G40" s="37" t="s">
        <v>147</v>
      </c>
      <c r="H40" s="37" t="s">
        <v>58</v>
      </c>
      <c r="I40" s="37" t="s">
        <v>148</v>
      </c>
      <c r="J40" s="37" t="s">
        <v>149</v>
      </c>
      <c r="K40" s="37" t="s">
        <v>58</v>
      </c>
      <c r="L40" s="37" t="s">
        <v>122</v>
      </c>
      <c r="M40" s="37" t="s">
        <v>136</v>
      </c>
      <c r="N40" s="37" t="s">
        <v>58</v>
      </c>
      <c r="O40" s="37" t="s">
        <v>122</v>
      </c>
      <c r="P40" s="37"/>
      <c r="Q40" s="37"/>
      <c r="R40" s="37"/>
      <c r="S40" s="37"/>
      <c r="T40" s="37"/>
      <c r="U40" s="37" t="s">
        <v>128</v>
      </c>
      <c r="V40" s="37" t="s">
        <v>58</v>
      </c>
      <c r="W40" s="37" t="s">
        <v>122</v>
      </c>
      <c r="X40" s="37" t="s">
        <v>136</v>
      </c>
      <c r="Y40" s="37" t="s">
        <v>58</v>
      </c>
      <c r="Z40" s="37"/>
      <c r="AA40" s="37">
        <v>0.2</v>
      </c>
    </row>
    <row r="41" spans="1:27" x14ac:dyDescent="0.25">
      <c r="A41" s="37" t="s">
        <v>266</v>
      </c>
      <c r="B41" s="37" t="s">
        <v>130</v>
      </c>
      <c r="C41" s="37" t="s">
        <v>267</v>
      </c>
      <c r="D41" s="37" t="s">
        <v>146</v>
      </c>
      <c r="E41" s="37" t="s">
        <v>170</v>
      </c>
      <c r="F41" s="37" t="s">
        <v>268</v>
      </c>
      <c r="G41" s="37" t="s">
        <v>147</v>
      </c>
      <c r="H41" s="37" t="s">
        <v>58</v>
      </c>
      <c r="I41" s="37" t="s">
        <v>269</v>
      </c>
      <c r="J41" s="37" t="s">
        <v>149</v>
      </c>
      <c r="K41" s="37" t="s">
        <v>58</v>
      </c>
      <c r="L41" s="37" t="s">
        <v>122</v>
      </c>
      <c r="M41" s="37" t="s">
        <v>136</v>
      </c>
      <c r="N41" s="37" t="s">
        <v>58</v>
      </c>
      <c r="O41" s="37" t="s">
        <v>122</v>
      </c>
      <c r="P41" s="37"/>
      <c r="Q41" s="37"/>
      <c r="R41" s="37"/>
      <c r="S41" s="37"/>
      <c r="T41" s="37"/>
      <c r="U41" s="37" t="s">
        <v>128</v>
      </c>
      <c r="V41" s="37" t="s">
        <v>58</v>
      </c>
      <c r="W41" s="37" t="s">
        <v>122</v>
      </c>
      <c r="X41" s="37" t="s">
        <v>136</v>
      </c>
      <c r="Y41" s="37" t="s">
        <v>58</v>
      </c>
      <c r="Z41" s="37"/>
      <c r="AA41" s="37">
        <v>0.2</v>
      </c>
    </row>
    <row r="42" spans="1:27" x14ac:dyDescent="0.25">
      <c r="A42" s="37" t="s">
        <v>262</v>
      </c>
      <c r="B42" s="37" t="s">
        <v>156</v>
      </c>
      <c r="C42" s="37" t="s">
        <v>270</v>
      </c>
      <c r="D42" s="37" t="s">
        <v>158</v>
      </c>
      <c r="E42" s="37" t="s">
        <v>170</v>
      </c>
      <c r="F42" s="37" t="s">
        <v>271</v>
      </c>
      <c r="G42" s="37" t="s">
        <v>119</v>
      </c>
      <c r="H42" s="37" t="s">
        <v>159</v>
      </c>
      <c r="I42" s="37" t="s">
        <v>272</v>
      </c>
      <c r="J42" s="37" t="s">
        <v>121</v>
      </c>
      <c r="K42" s="37" t="s">
        <v>159</v>
      </c>
      <c r="L42" s="37" t="s">
        <v>122</v>
      </c>
      <c r="M42" s="37" t="s">
        <v>136</v>
      </c>
      <c r="N42" s="37" t="s">
        <v>166</v>
      </c>
      <c r="O42" s="37" t="s">
        <v>122</v>
      </c>
      <c r="P42" s="37"/>
      <c r="Q42" s="37"/>
      <c r="R42" s="37"/>
      <c r="S42" s="37"/>
      <c r="T42" s="37"/>
      <c r="U42" s="37" t="s">
        <v>128</v>
      </c>
      <c r="V42" s="37" t="s">
        <v>166</v>
      </c>
      <c r="W42" s="37" t="s">
        <v>122</v>
      </c>
      <c r="X42" s="37" t="s">
        <v>136</v>
      </c>
      <c r="Y42" s="37" t="s">
        <v>166</v>
      </c>
      <c r="Z42" s="37"/>
      <c r="AA42" s="37">
        <v>0.2</v>
      </c>
    </row>
    <row r="43" spans="1:27" x14ac:dyDescent="0.25">
      <c r="A43" s="37" t="s">
        <v>262</v>
      </c>
      <c r="B43" s="37" t="s">
        <v>242</v>
      </c>
      <c r="C43" s="37" t="s">
        <v>273</v>
      </c>
      <c r="D43" s="37" t="s">
        <v>158</v>
      </c>
      <c r="E43" s="37" t="s">
        <v>170</v>
      </c>
      <c r="F43" s="37" t="s">
        <v>271</v>
      </c>
      <c r="G43" s="37" t="s">
        <v>119</v>
      </c>
      <c r="H43" s="37" t="s">
        <v>159</v>
      </c>
      <c r="I43" s="37" t="s">
        <v>272</v>
      </c>
      <c r="J43" s="37" t="s">
        <v>121</v>
      </c>
      <c r="K43" s="37" t="s">
        <v>159</v>
      </c>
      <c r="L43" s="37" t="s">
        <v>122</v>
      </c>
      <c r="M43" s="37" t="s">
        <v>136</v>
      </c>
      <c r="N43" s="37" t="s">
        <v>166</v>
      </c>
      <c r="O43" s="37" t="s">
        <v>122</v>
      </c>
      <c r="P43" s="37"/>
      <c r="Q43" s="37"/>
      <c r="R43" s="37"/>
      <c r="S43" s="37"/>
      <c r="T43" s="37"/>
      <c r="U43" s="37" t="s">
        <v>128</v>
      </c>
      <c r="V43" s="37" t="s">
        <v>166</v>
      </c>
      <c r="W43" s="37" t="s">
        <v>122</v>
      </c>
      <c r="X43" s="37"/>
      <c r="Y43" s="37"/>
      <c r="Z43" s="37"/>
      <c r="AA43" s="37">
        <v>0.2</v>
      </c>
    </row>
    <row r="44" spans="1:27" x14ac:dyDescent="0.25">
      <c r="A44" s="37" t="s">
        <v>262</v>
      </c>
      <c r="B44" s="37" t="s">
        <v>115</v>
      </c>
      <c r="C44" s="37" t="s">
        <v>274</v>
      </c>
      <c r="D44" s="37" t="s">
        <v>158</v>
      </c>
      <c r="E44" s="37" t="s">
        <v>170</v>
      </c>
      <c r="F44" s="37" t="s">
        <v>271</v>
      </c>
      <c r="G44" s="37" t="s">
        <v>119</v>
      </c>
      <c r="H44" s="37" t="s">
        <v>159</v>
      </c>
      <c r="I44" s="37" t="s">
        <v>272</v>
      </c>
      <c r="J44" s="37" t="s">
        <v>121</v>
      </c>
      <c r="K44" s="37" t="s">
        <v>159</v>
      </c>
      <c r="L44" s="37" t="s">
        <v>122</v>
      </c>
      <c r="M44" s="37" t="s">
        <v>136</v>
      </c>
      <c r="N44" s="37" t="s">
        <v>166</v>
      </c>
      <c r="O44" s="37" t="s">
        <v>122</v>
      </c>
      <c r="P44" s="37" t="s">
        <v>258</v>
      </c>
      <c r="Q44" s="37" t="s">
        <v>125</v>
      </c>
      <c r="R44" s="37" t="s">
        <v>64</v>
      </c>
      <c r="S44" s="37" t="s">
        <v>127</v>
      </c>
      <c r="T44" s="37" t="s">
        <v>127</v>
      </c>
      <c r="U44" s="37" t="s">
        <v>128</v>
      </c>
      <c r="V44" s="37" t="s">
        <v>166</v>
      </c>
      <c r="W44" s="37" t="s">
        <v>122</v>
      </c>
      <c r="X44" s="37"/>
      <c r="Y44" s="37"/>
      <c r="Z44" s="37"/>
      <c r="AA44" s="37">
        <v>0.2</v>
      </c>
    </row>
    <row r="45" spans="1:27" x14ac:dyDescent="0.25">
      <c r="A45" s="37" t="s">
        <v>275</v>
      </c>
      <c r="B45" s="37" t="s">
        <v>130</v>
      </c>
      <c r="C45" s="37" t="s">
        <v>276</v>
      </c>
      <c r="D45" s="37" t="s">
        <v>146</v>
      </c>
      <c r="E45" s="37" t="s">
        <v>170</v>
      </c>
      <c r="F45" s="37"/>
      <c r="G45" s="37" t="s">
        <v>147</v>
      </c>
      <c r="H45" s="37" t="s">
        <v>58</v>
      </c>
      <c r="I45" s="37" t="s">
        <v>148</v>
      </c>
      <c r="J45" s="37" t="s">
        <v>149</v>
      </c>
      <c r="K45" s="37" t="s">
        <v>58</v>
      </c>
      <c r="L45" s="37" t="s">
        <v>122</v>
      </c>
      <c r="M45" s="37" t="s">
        <v>136</v>
      </c>
      <c r="N45" s="37" t="s">
        <v>58</v>
      </c>
      <c r="O45" s="37" t="s">
        <v>122</v>
      </c>
      <c r="P45" s="37"/>
      <c r="Q45" s="37"/>
      <c r="R45" s="37"/>
      <c r="S45" s="37"/>
      <c r="T45" s="37"/>
      <c r="U45" s="37" t="s">
        <v>128</v>
      </c>
      <c r="V45" s="37" t="s">
        <v>58</v>
      </c>
      <c r="W45" s="37" t="s">
        <v>122</v>
      </c>
      <c r="X45" s="37" t="s">
        <v>136</v>
      </c>
      <c r="Y45" s="37" t="s">
        <v>58</v>
      </c>
      <c r="Z45" s="37"/>
      <c r="AA45" s="37">
        <v>0.2</v>
      </c>
    </row>
    <row r="46" spans="1:27" x14ac:dyDescent="0.25">
      <c r="A46" s="37" t="s">
        <v>262</v>
      </c>
      <c r="B46" s="37" t="s">
        <v>162</v>
      </c>
      <c r="C46" s="37" t="s">
        <v>277</v>
      </c>
      <c r="D46" s="37" t="s">
        <v>117</v>
      </c>
      <c r="E46" s="37" t="s">
        <v>170</v>
      </c>
      <c r="F46" s="37"/>
      <c r="G46" s="37" t="s">
        <v>119</v>
      </c>
      <c r="H46" s="37" t="s">
        <v>61</v>
      </c>
      <c r="I46" s="37" t="s">
        <v>278</v>
      </c>
      <c r="J46" s="37" t="s">
        <v>121</v>
      </c>
      <c r="K46" s="37" t="s">
        <v>61</v>
      </c>
      <c r="L46" s="37" t="s">
        <v>122</v>
      </c>
      <c r="M46" s="37" t="s">
        <v>123</v>
      </c>
      <c r="N46" s="37" t="s">
        <v>61</v>
      </c>
      <c r="O46" s="37" t="s">
        <v>122</v>
      </c>
      <c r="P46" s="37" t="s">
        <v>124</v>
      </c>
      <c r="Q46" s="37" t="s">
        <v>165</v>
      </c>
      <c r="R46" s="37" t="s">
        <v>166</v>
      </c>
      <c r="S46" s="37" t="s">
        <v>127</v>
      </c>
      <c r="T46" s="37" t="s">
        <v>127</v>
      </c>
      <c r="U46" s="37" t="s">
        <v>128</v>
      </c>
      <c r="V46" s="37" t="s">
        <v>61</v>
      </c>
      <c r="W46" s="37" t="s">
        <v>122</v>
      </c>
      <c r="X46" s="37"/>
      <c r="Y46" s="37"/>
      <c r="Z46" s="37"/>
      <c r="AA46" s="37">
        <v>0.2</v>
      </c>
    </row>
    <row r="47" spans="1:27" x14ac:dyDescent="0.25">
      <c r="A47" s="37" t="s">
        <v>262</v>
      </c>
      <c r="B47" s="37" t="s">
        <v>167</v>
      </c>
      <c r="C47" s="37" t="s">
        <v>279</v>
      </c>
      <c r="D47" s="37" t="s">
        <v>169</v>
      </c>
      <c r="E47" s="37" t="s">
        <v>170</v>
      </c>
      <c r="F47" s="37" t="s">
        <v>280</v>
      </c>
      <c r="G47" s="37" t="s">
        <v>119</v>
      </c>
      <c r="H47" s="37" t="s">
        <v>170</v>
      </c>
      <c r="I47" s="37" t="s">
        <v>281</v>
      </c>
      <c r="J47" s="37" t="s">
        <v>135</v>
      </c>
      <c r="K47" s="37" t="s">
        <v>58</v>
      </c>
      <c r="L47" s="37" t="s">
        <v>122</v>
      </c>
      <c r="M47" s="37" t="s">
        <v>136</v>
      </c>
      <c r="N47" s="37" t="s">
        <v>58</v>
      </c>
      <c r="O47" s="37" t="s">
        <v>122</v>
      </c>
      <c r="P47" s="37" t="s">
        <v>218</v>
      </c>
      <c r="Q47" s="37" t="s">
        <v>174</v>
      </c>
      <c r="R47" s="37" t="s">
        <v>219</v>
      </c>
      <c r="S47" s="37" t="s">
        <v>127</v>
      </c>
      <c r="T47" s="37" t="s">
        <v>127</v>
      </c>
      <c r="U47" s="37" t="s">
        <v>128</v>
      </c>
      <c r="V47" s="37" t="s">
        <v>58</v>
      </c>
      <c r="W47" s="37" t="s">
        <v>122</v>
      </c>
      <c r="X47" s="37"/>
      <c r="Y47" s="37"/>
      <c r="Z47" s="37"/>
      <c r="AA47" s="37">
        <v>0.2</v>
      </c>
    </row>
    <row r="48" spans="1:27" x14ac:dyDescent="0.25">
      <c r="A48" s="37" t="s">
        <v>282</v>
      </c>
      <c r="B48" s="37" t="s">
        <v>130</v>
      </c>
      <c r="C48" s="37" t="s">
        <v>283</v>
      </c>
      <c r="D48" s="37" t="s">
        <v>132</v>
      </c>
      <c r="E48" s="37" t="s">
        <v>170</v>
      </c>
      <c r="F48" s="37" t="s">
        <v>284</v>
      </c>
      <c r="G48" s="37" t="s">
        <v>119</v>
      </c>
      <c r="H48" s="37" t="s">
        <v>58</v>
      </c>
      <c r="I48" s="37" t="s">
        <v>285</v>
      </c>
      <c r="J48" s="37" t="s">
        <v>135</v>
      </c>
      <c r="K48" s="37" t="s">
        <v>61</v>
      </c>
      <c r="L48" s="37" t="s">
        <v>122</v>
      </c>
      <c r="M48" s="37" t="s">
        <v>136</v>
      </c>
      <c r="N48" s="37" t="s">
        <v>137</v>
      </c>
      <c r="O48" s="37" t="s">
        <v>122</v>
      </c>
      <c r="P48" s="37"/>
      <c r="Q48" s="37"/>
      <c r="R48" s="37"/>
      <c r="S48" s="37"/>
      <c r="T48" s="37"/>
      <c r="U48" s="37" t="s">
        <v>128</v>
      </c>
      <c r="V48" s="37" t="s">
        <v>137</v>
      </c>
      <c r="W48" s="37" t="s">
        <v>122</v>
      </c>
      <c r="X48" s="37" t="s">
        <v>136</v>
      </c>
      <c r="Y48" s="37" t="s">
        <v>137</v>
      </c>
      <c r="Z48" s="37"/>
      <c r="AA48" s="37">
        <v>0.2</v>
      </c>
    </row>
    <row r="49" spans="1:27" x14ac:dyDescent="0.25">
      <c r="A49" s="37" t="s">
        <v>266</v>
      </c>
      <c r="B49" s="37" t="s">
        <v>167</v>
      </c>
      <c r="C49" s="37" t="s">
        <v>286</v>
      </c>
      <c r="D49" s="37" t="s">
        <v>169</v>
      </c>
      <c r="E49" s="37" t="s">
        <v>170</v>
      </c>
      <c r="F49" s="37"/>
      <c r="G49" s="37" t="s">
        <v>119</v>
      </c>
      <c r="H49" s="37" t="s">
        <v>170</v>
      </c>
      <c r="I49" s="37" t="s">
        <v>287</v>
      </c>
      <c r="J49" s="37" t="s">
        <v>135</v>
      </c>
      <c r="K49" s="37" t="s">
        <v>58</v>
      </c>
      <c r="L49" s="37" t="s">
        <v>122</v>
      </c>
      <c r="M49" s="37" t="s">
        <v>136</v>
      </c>
      <c r="N49" s="37" t="s">
        <v>58</v>
      </c>
      <c r="O49" s="37" t="s">
        <v>122</v>
      </c>
      <c r="P49" s="37" t="s">
        <v>218</v>
      </c>
      <c r="Q49" s="37" t="s">
        <v>174</v>
      </c>
      <c r="R49" s="37" t="s">
        <v>219</v>
      </c>
      <c r="S49" s="37" t="s">
        <v>127</v>
      </c>
      <c r="T49" s="37" t="s">
        <v>175</v>
      </c>
      <c r="U49" s="37" t="s">
        <v>128</v>
      </c>
      <c r="V49" s="37" t="s">
        <v>58</v>
      </c>
      <c r="W49" s="37" t="s">
        <v>122</v>
      </c>
      <c r="X49" s="37"/>
      <c r="Y49" s="37"/>
      <c r="Z49" s="37"/>
      <c r="AA49" s="37">
        <v>0.2</v>
      </c>
    </row>
    <row r="50" spans="1:27" x14ac:dyDescent="0.25">
      <c r="A50" s="37" t="s">
        <v>288</v>
      </c>
      <c r="B50" s="37" t="s">
        <v>130</v>
      </c>
      <c r="C50" s="37" t="s">
        <v>289</v>
      </c>
      <c r="D50" s="37" t="s">
        <v>146</v>
      </c>
      <c r="E50" s="37" t="s">
        <v>170</v>
      </c>
      <c r="F50" s="37"/>
      <c r="G50" s="37" t="s">
        <v>147</v>
      </c>
      <c r="H50" s="37" t="s">
        <v>58</v>
      </c>
      <c r="I50" s="37" t="s">
        <v>148</v>
      </c>
      <c r="J50" s="37" t="s">
        <v>149</v>
      </c>
      <c r="K50" s="37" t="s">
        <v>58</v>
      </c>
      <c r="L50" s="37" t="s">
        <v>122</v>
      </c>
      <c r="M50" s="37" t="s">
        <v>136</v>
      </c>
      <c r="N50" s="37" t="s">
        <v>58</v>
      </c>
      <c r="O50" s="37" t="s">
        <v>122</v>
      </c>
      <c r="P50" s="37"/>
      <c r="Q50" s="37"/>
      <c r="R50" s="37"/>
      <c r="S50" s="37"/>
      <c r="T50" s="37"/>
      <c r="U50" s="37" t="s">
        <v>128</v>
      </c>
      <c r="V50" s="37" t="s">
        <v>58</v>
      </c>
      <c r="W50" s="37" t="s">
        <v>122</v>
      </c>
      <c r="X50" s="37"/>
      <c r="Y50" s="37"/>
      <c r="Z50" s="37"/>
      <c r="AA50" s="37">
        <v>0.2</v>
      </c>
    </row>
    <row r="51" spans="1:27" x14ac:dyDescent="0.25">
      <c r="A51" s="37" t="s">
        <v>262</v>
      </c>
      <c r="B51" s="37" t="s">
        <v>290</v>
      </c>
      <c r="C51" s="37" t="s">
        <v>291</v>
      </c>
      <c r="D51" s="37" t="s">
        <v>292</v>
      </c>
      <c r="E51" s="37" t="s">
        <v>170</v>
      </c>
      <c r="F51" s="37"/>
      <c r="G51" s="37" t="s">
        <v>119</v>
      </c>
      <c r="H51" s="37" t="s">
        <v>58</v>
      </c>
      <c r="I51" s="37" t="s">
        <v>293</v>
      </c>
      <c r="J51" s="37" t="s">
        <v>135</v>
      </c>
      <c r="K51" s="37" t="s">
        <v>58</v>
      </c>
      <c r="L51" s="37" t="s">
        <v>122</v>
      </c>
      <c r="M51" s="37" t="s">
        <v>136</v>
      </c>
      <c r="N51" s="37" t="s">
        <v>58</v>
      </c>
      <c r="O51" s="37" t="s">
        <v>122</v>
      </c>
      <c r="P51" s="37"/>
      <c r="Q51" s="37"/>
      <c r="R51" s="37"/>
      <c r="S51" s="37"/>
      <c r="T51" s="37"/>
      <c r="U51" s="37" t="s">
        <v>128</v>
      </c>
      <c r="V51" s="37" t="s">
        <v>58</v>
      </c>
      <c r="W51" s="37" t="s">
        <v>122</v>
      </c>
      <c r="X51" s="37" t="s">
        <v>136</v>
      </c>
      <c r="Y51" s="37" t="s">
        <v>58</v>
      </c>
      <c r="Z51" s="37"/>
      <c r="AA51" s="37">
        <v>0.2</v>
      </c>
    </row>
    <row r="52" spans="1:27" x14ac:dyDescent="0.25">
      <c r="A52" s="37" t="s">
        <v>294</v>
      </c>
      <c r="B52" s="37" t="s">
        <v>205</v>
      </c>
      <c r="C52" s="37" t="s">
        <v>295</v>
      </c>
      <c r="D52" s="37" t="s">
        <v>158</v>
      </c>
      <c r="E52" s="37" t="s">
        <v>172</v>
      </c>
      <c r="F52" s="37"/>
      <c r="G52" s="37" t="s">
        <v>119</v>
      </c>
      <c r="H52" s="37" t="s">
        <v>159</v>
      </c>
      <c r="I52" s="37" t="s">
        <v>296</v>
      </c>
      <c r="J52" s="37" t="s">
        <v>121</v>
      </c>
      <c r="K52" s="37" t="s">
        <v>159</v>
      </c>
      <c r="L52" s="37" t="s">
        <v>122</v>
      </c>
      <c r="M52" s="37" t="s">
        <v>136</v>
      </c>
      <c r="N52" s="37" t="s">
        <v>297</v>
      </c>
      <c r="O52" s="37" t="s">
        <v>122</v>
      </c>
      <c r="P52" s="37"/>
      <c r="Q52" s="37"/>
      <c r="R52" s="37"/>
      <c r="S52" s="37"/>
      <c r="T52" s="37"/>
      <c r="U52" s="37" t="s">
        <v>128</v>
      </c>
      <c r="V52" s="37" t="s">
        <v>297</v>
      </c>
      <c r="W52" s="37" t="s">
        <v>122</v>
      </c>
      <c r="X52" s="37" t="s">
        <v>136</v>
      </c>
      <c r="Y52" s="37" t="s">
        <v>297</v>
      </c>
      <c r="Z52" s="37"/>
      <c r="AA52" s="37">
        <v>0.2</v>
      </c>
    </row>
    <row r="53" spans="1:27" x14ac:dyDescent="0.25">
      <c r="A53" s="37" t="s">
        <v>294</v>
      </c>
      <c r="B53" s="37" t="s">
        <v>130</v>
      </c>
      <c r="C53" s="37" t="s">
        <v>298</v>
      </c>
      <c r="D53" s="37" t="s">
        <v>146</v>
      </c>
      <c r="E53" s="37" t="s">
        <v>172</v>
      </c>
      <c r="F53" s="37" t="s">
        <v>299</v>
      </c>
      <c r="G53" s="37" t="s">
        <v>147</v>
      </c>
      <c r="H53" s="37" t="s">
        <v>58</v>
      </c>
      <c r="I53" s="37" t="s">
        <v>300</v>
      </c>
      <c r="J53" s="37" t="s">
        <v>149</v>
      </c>
      <c r="K53" s="37" t="s">
        <v>58</v>
      </c>
      <c r="L53" s="37" t="s">
        <v>122</v>
      </c>
      <c r="M53" s="37" t="s">
        <v>136</v>
      </c>
      <c r="N53" s="37" t="s">
        <v>58</v>
      </c>
      <c r="O53" s="37" t="s">
        <v>122</v>
      </c>
      <c r="P53" s="37"/>
      <c r="Q53" s="37"/>
      <c r="R53" s="37"/>
      <c r="S53" s="37"/>
      <c r="T53" s="37"/>
      <c r="U53" s="37" t="s">
        <v>128</v>
      </c>
      <c r="V53" s="37" t="s">
        <v>58</v>
      </c>
      <c r="W53" s="37" t="s">
        <v>122</v>
      </c>
      <c r="X53" s="37" t="s">
        <v>136</v>
      </c>
      <c r="Y53" s="37" t="s">
        <v>58</v>
      </c>
      <c r="Z53" s="37"/>
      <c r="AA53" s="37">
        <v>0.2</v>
      </c>
    </row>
    <row r="54" spans="1:27" x14ac:dyDescent="0.25">
      <c r="A54" s="37" t="s">
        <v>294</v>
      </c>
      <c r="B54" s="37" t="s">
        <v>251</v>
      </c>
      <c r="C54" s="37" t="s">
        <v>301</v>
      </c>
      <c r="D54" s="37" t="s">
        <v>117</v>
      </c>
      <c r="E54" s="37" t="s">
        <v>172</v>
      </c>
      <c r="F54" s="37"/>
      <c r="G54" s="37" t="s">
        <v>119</v>
      </c>
      <c r="H54" s="37" t="s">
        <v>61</v>
      </c>
      <c r="I54" s="37" t="s">
        <v>302</v>
      </c>
      <c r="J54" s="37" t="s">
        <v>121</v>
      </c>
      <c r="K54" s="37" t="s">
        <v>61</v>
      </c>
      <c r="L54" s="37" t="s">
        <v>122</v>
      </c>
      <c r="M54" s="37" t="s">
        <v>123</v>
      </c>
      <c r="N54" s="37" t="s">
        <v>61</v>
      </c>
      <c r="O54" s="37" t="s">
        <v>122</v>
      </c>
      <c r="P54" s="37" t="s">
        <v>124</v>
      </c>
      <c r="Q54" s="37" t="s">
        <v>165</v>
      </c>
      <c r="R54" s="37" t="s">
        <v>166</v>
      </c>
      <c r="S54" s="37" t="s">
        <v>127</v>
      </c>
      <c r="T54" s="37" t="s">
        <v>127</v>
      </c>
      <c r="U54" s="37" t="s">
        <v>128</v>
      </c>
      <c r="V54" s="37" t="s">
        <v>61</v>
      </c>
      <c r="W54" s="37" t="s">
        <v>122</v>
      </c>
      <c r="X54" s="37"/>
      <c r="Y54" s="37"/>
      <c r="Z54" s="37"/>
      <c r="AA54" s="37">
        <v>0.2</v>
      </c>
    </row>
    <row r="55" spans="1:27" x14ac:dyDescent="0.25">
      <c r="A55" s="37" t="s">
        <v>294</v>
      </c>
      <c r="B55" s="37" t="s">
        <v>303</v>
      </c>
      <c r="C55" s="37" t="s">
        <v>304</v>
      </c>
      <c r="D55" s="37" t="s">
        <v>292</v>
      </c>
      <c r="E55" s="37" t="s">
        <v>172</v>
      </c>
      <c r="F55" s="37"/>
      <c r="G55" s="37" t="s">
        <v>119</v>
      </c>
      <c r="H55" s="37" t="s">
        <v>58</v>
      </c>
      <c r="I55" s="37" t="s">
        <v>305</v>
      </c>
      <c r="J55" s="37" t="s">
        <v>135</v>
      </c>
      <c r="K55" s="37" t="s">
        <v>58</v>
      </c>
      <c r="L55" s="37" t="s">
        <v>122</v>
      </c>
      <c r="M55" s="37" t="s">
        <v>136</v>
      </c>
      <c r="N55" s="37" t="s">
        <v>58</v>
      </c>
      <c r="O55" s="37" t="s">
        <v>122</v>
      </c>
      <c r="P55" s="37" t="s">
        <v>306</v>
      </c>
      <c r="Q55" s="37" t="s">
        <v>307</v>
      </c>
      <c r="R55" s="37" t="s">
        <v>166</v>
      </c>
      <c r="S55" s="37" t="s">
        <v>127</v>
      </c>
      <c r="T55" s="37" t="s">
        <v>127</v>
      </c>
      <c r="U55" s="37" t="s">
        <v>128</v>
      </c>
      <c r="V55" s="37" t="s">
        <v>58</v>
      </c>
      <c r="W55" s="37" t="s">
        <v>122</v>
      </c>
      <c r="X55" s="37" t="s">
        <v>136</v>
      </c>
      <c r="Y55" s="37" t="s">
        <v>58</v>
      </c>
      <c r="Z55" s="37"/>
      <c r="AA55" s="37">
        <v>0.2</v>
      </c>
    </row>
    <row r="56" spans="1:27" x14ac:dyDescent="0.25">
      <c r="A56" s="37" t="s">
        <v>308</v>
      </c>
      <c r="B56" s="37" t="s">
        <v>130</v>
      </c>
      <c r="C56" s="37" t="s">
        <v>309</v>
      </c>
      <c r="D56" s="37" t="s">
        <v>146</v>
      </c>
      <c r="E56" s="37" t="s">
        <v>172</v>
      </c>
      <c r="F56" s="37" t="s">
        <v>310</v>
      </c>
      <c r="G56" s="37" t="s">
        <v>147</v>
      </c>
      <c r="H56" s="37" t="s">
        <v>58</v>
      </c>
      <c r="I56" s="37" t="s">
        <v>311</v>
      </c>
      <c r="J56" s="37" t="s">
        <v>149</v>
      </c>
      <c r="K56" s="37" t="s">
        <v>58</v>
      </c>
      <c r="L56" s="37" t="s">
        <v>122</v>
      </c>
      <c r="M56" s="37" t="s">
        <v>136</v>
      </c>
      <c r="N56" s="37" t="s">
        <v>58</v>
      </c>
      <c r="O56" s="37" t="s">
        <v>122</v>
      </c>
      <c r="P56" s="37"/>
      <c r="Q56" s="37"/>
      <c r="R56" s="37"/>
      <c r="S56" s="37"/>
      <c r="T56" s="37"/>
      <c r="U56" s="37" t="s">
        <v>128</v>
      </c>
      <c r="V56" s="37" t="s">
        <v>58</v>
      </c>
      <c r="W56" s="37" t="s">
        <v>122</v>
      </c>
      <c r="X56" s="37" t="s">
        <v>136</v>
      </c>
      <c r="Y56" s="37" t="s">
        <v>58</v>
      </c>
      <c r="Z56" s="37"/>
      <c r="AA56" s="37">
        <v>0.2</v>
      </c>
    </row>
    <row r="57" spans="1:27" x14ac:dyDescent="0.25">
      <c r="A57" s="37" t="s">
        <v>308</v>
      </c>
      <c r="B57" s="37" t="s">
        <v>130</v>
      </c>
      <c r="C57" s="37" t="s">
        <v>312</v>
      </c>
      <c r="D57" s="37" t="s">
        <v>132</v>
      </c>
      <c r="E57" s="37" t="s">
        <v>172</v>
      </c>
      <c r="F57" s="37"/>
      <c r="G57" s="37" t="s">
        <v>119</v>
      </c>
      <c r="H57" s="37" t="s">
        <v>58</v>
      </c>
      <c r="I57" s="37" t="s">
        <v>313</v>
      </c>
      <c r="J57" s="37" t="s">
        <v>135</v>
      </c>
      <c r="K57" s="37" t="s">
        <v>61</v>
      </c>
      <c r="L57" s="37" t="s">
        <v>122</v>
      </c>
      <c r="M57" s="37" t="s">
        <v>136</v>
      </c>
      <c r="N57" s="37" t="s">
        <v>137</v>
      </c>
      <c r="O57" s="37" t="s">
        <v>122</v>
      </c>
      <c r="P57" s="37"/>
      <c r="Q57" s="37"/>
      <c r="R57" s="37"/>
      <c r="S57" s="37"/>
      <c r="T57" s="37"/>
      <c r="U57" s="37" t="s">
        <v>128</v>
      </c>
      <c r="V57" s="37" t="s">
        <v>137</v>
      </c>
      <c r="W57" s="37" t="s">
        <v>122</v>
      </c>
      <c r="X57" s="37" t="s">
        <v>136</v>
      </c>
      <c r="Y57" s="37" t="s">
        <v>137</v>
      </c>
      <c r="Z57" s="37"/>
      <c r="AA57" s="37">
        <v>0.2</v>
      </c>
    </row>
    <row r="58" spans="1:27" x14ac:dyDescent="0.25">
      <c r="A58" s="37" t="s">
        <v>314</v>
      </c>
      <c r="B58" s="37" t="s">
        <v>130</v>
      </c>
      <c r="C58" s="37" t="s">
        <v>315</v>
      </c>
      <c r="D58" s="37" t="s">
        <v>132</v>
      </c>
      <c r="E58" s="37" t="s">
        <v>126</v>
      </c>
      <c r="F58" s="37" t="s">
        <v>316</v>
      </c>
      <c r="G58" s="37" t="s">
        <v>119</v>
      </c>
      <c r="H58" s="37" t="s">
        <v>58</v>
      </c>
      <c r="I58" s="37" t="s">
        <v>317</v>
      </c>
      <c r="J58" s="37" t="s">
        <v>121</v>
      </c>
      <c r="K58" s="37" t="s">
        <v>318</v>
      </c>
      <c r="L58" s="37" t="s">
        <v>122</v>
      </c>
      <c r="M58" s="37" t="s">
        <v>136</v>
      </c>
      <c r="N58" s="37" t="s">
        <v>78</v>
      </c>
      <c r="O58" s="37" t="s">
        <v>122</v>
      </c>
      <c r="P58" s="37"/>
      <c r="Q58" s="37"/>
      <c r="R58" s="37"/>
      <c r="S58" s="37"/>
      <c r="T58" s="37"/>
      <c r="U58" s="37" t="s">
        <v>128</v>
      </c>
      <c r="V58" s="37" t="s">
        <v>78</v>
      </c>
      <c r="W58" s="37" t="s">
        <v>122</v>
      </c>
      <c r="X58" s="37"/>
      <c r="Y58" s="37"/>
      <c r="Z58" s="37"/>
      <c r="AA58" s="37">
        <v>0.2</v>
      </c>
    </row>
    <row r="59" spans="1:27" x14ac:dyDescent="0.25">
      <c r="A59" s="37" t="s">
        <v>314</v>
      </c>
      <c r="B59" s="37" t="s">
        <v>183</v>
      </c>
      <c r="C59" s="37" t="s">
        <v>319</v>
      </c>
      <c r="D59" s="37" t="s">
        <v>185</v>
      </c>
      <c r="E59" s="37" t="s">
        <v>126</v>
      </c>
      <c r="F59" s="37"/>
      <c r="G59" s="37" t="s">
        <v>119</v>
      </c>
      <c r="H59" s="37" t="s">
        <v>68</v>
      </c>
      <c r="I59" s="37" t="s">
        <v>264</v>
      </c>
      <c r="J59" s="37" t="s">
        <v>135</v>
      </c>
      <c r="K59" s="37" t="s">
        <v>68</v>
      </c>
      <c r="L59" s="37" t="s">
        <v>122</v>
      </c>
      <c r="M59" s="37" t="s">
        <v>136</v>
      </c>
      <c r="N59" s="37" t="s">
        <v>187</v>
      </c>
      <c r="O59" s="37" t="s">
        <v>122</v>
      </c>
      <c r="P59" s="37"/>
      <c r="Q59" s="37"/>
      <c r="R59" s="37"/>
      <c r="S59" s="37"/>
      <c r="T59" s="37"/>
      <c r="U59" s="37" t="s">
        <v>128</v>
      </c>
      <c r="V59" s="37" t="s">
        <v>187</v>
      </c>
      <c r="W59" s="37" t="s">
        <v>122</v>
      </c>
      <c r="X59" s="37"/>
      <c r="Y59" s="37"/>
      <c r="Z59" s="37"/>
      <c r="AA59" s="37">
        <v>0.2</v>
      </c>
    </row>
    <row r="60" spans="1:27" x14ac:dyDescent="0.25">
      <c r="A60" s="37" t="s">
        <v>314</v>
      </c>
      <c r="B60" s="37" t="s">
        <v>205</v>
      </c>
      <c r="C60" s="37" t="s">
        <v>320</v>
      </c>
      <c r="D60" s="37" t="s">
        <v>158</v>
      </c>
      <c r="E60" s="37" t="s">
        <v>126</v>
      </c>
      <c r="F60" s="37"/>
      <c r="G60" s="37" t="s">
        <v>119</v>
      </c>
      <c r="H60" s="37" t="s">
        <v>159</v>
      </c>
      <c r="I60" s="37" t="s">
        <v>321</v>
      </c>
      <c r="J60" s="37" t="s">
        <v>135</v>
      </c>
      <c r="K60" s="37" t="s">
        <v>137</v>
      </c>
      <c r="L60" s="37" t="s">
        <v>122</v>
      </c>
      <c r="M60" s="37" t="s">
        <v>136</v>
      </c>
      <c r="N60" s="37" t="s">
        <v>161</v>
      </c>
      <c r="O60" s="37" t="s">
        <v>122</v>
      </c>
      <c r="P60" s="37"/>
      <c r="Q60" s="37"/>
      <c r="R60" s="37"/>
      <c r="S60" s="37"/>
      <c r="T60" s="37"/>
      <c r="U60" s="37" t="s">
        <v>128</v>
      </c>
      <c r="V60" s="37" t="s">
        <v>161</v>
      </c>
      <c r="W60" s="37" t="s">
        <v>122</v>
      </c>
      <c r="X60" s="37"/>
      <c r="Y60" s="37"/>
      <c r="Z60" s="37"/>
      <c r="AA60" s="37">
        <v>0.2</v>
      </c>
    </row>
    <row r="61" spans="1:27" x14ac:dyDescent="0.25">
      <c r="A61" s="37" t="s">
        <v>54</v>
      </c>
      <c r="B61" s="37" t="s">
        <v>115</v>
      </c>
      <c r="C61" s="37" t="s">
        <v>322</v>
      </c>
      <c r="D61" s="37" t="s">
        <v>117</v>
      </c>
      <c r="E61" s="37" t="s">
        <v>126</v>
      </c>
      <c r="F61" s="37"/>
      <c r="G61" s="37" t="s">
        <v>119</v>
      </c>
      <c r="H61" s="37" t="s">
        <v>61</v>
      </c>
      <c r="I61" s="37" t="s">
        <v>323</v>
      </c>
      <c r="J61" s="37" t="s">
        <v>121</v>
      </c>
      <c r="K61" s="37" t="s">
        <v>61</v>
      </c>
      <c r="L61" s="37" t="s">
        <v>122</v>
      </c>
      <c r="M61" s="37" t="s">
        <v>123</v>
      </c>
      <c r="N61" s="37" t="s">
        <v>61</v>
      </c>
      <c r="O61" s="37" t="s">
        <v>122</v>
      </c>
      <c r="P61" s="37" t="s">
        <v>124</v>
      </c>
      <c r="Q61" s="37" t="s">
        <v>125</v>
      </c>
      <c r="R61" s="37" t="s">
        <v>126</v>
      </c>
      <c r="S61" s="37" t="s">
        <v>127</v>
      </c>
      <c r="T61" s="37" t="s">
        <v>127</v>
      </c>
      <c r="U61" s="37" t="s">
        <v>128</v>
      </c>
      <c r="V61" s="37" t="s">
        <v>61</v>
      </c>
      <c r="W61" s="37" t="s">
        <v>122</v>
      </c>
      <c r="X61" s="37"/>
      <c r="Y61" s="37"/>
      <c r="Z61" s="37"/>
      <c r="AA61" s="37">
        <v>0.2</v>
      </c>
    </row>
    <row r="62" spans="1:27" x14ac:dyDescent="0.25">
      <c r="A62" s="37" t="s">
        <v>314</v>
      </c>
      <c r="B62" s="37" t="s">
        <v>251</v>
      </c>
      <c r="C62" s="37" t="s">
        <v>324</v>
      </c>
      <c r="D62" s="37" t="s">
        <v>117</v>
      </c>
      <c r="E62" s="37" t="s">
        <v>126</v>
      </c>
      <c r="F62" s="37"/>
      <c r="G62" s="37" t="s">
        <v>119</v>
      </c>
      <c r="H62" s="37" t="s">
        <v>61</v>
      </c>
      <c r="I62" s="37" t="s">
        <v>325</v>
      </c>
      <c r="J62" s="37" t="s">
        <v>121</v>
      </c>
      <c r="K62" s="37" t="s">
        <v>61</v>
      </c>
      <c r="L62" s="37" t="s">
        <v>122</v>
      </c>
      <c r="M62" s="37" t="s">
        <v>123</v>
      </c>
      <c r="N62" s="37" t="s">
        <v>61</v>
      </c>
      <c r="O62" s="37" t="s">
        <v>122</v>
      </c>
      <c r="P62" s="37" t="s">
        <v>124</v>
      </c>
      <c r="Q62" s="37" t="s">
        <v>165</v>
      </c>
      <c r="R62" s="37" t="s">
        <v>166</v>
      </c>
      <c r="S62" s="37" t="s">
        <v>127</v>
      </c>
      <c r="T62" s="37" t="s">
        <v>127</v>
      </c>
      <c r="U62" s="37" t="s">
        <v>128</v>
      </c>
      <c r="V62" s="37" t="s">
        <v>61</v>
      </c>
      <c r="W62" s="37" t="s">
        <v>122</v>
      </c>
      <c r="X62" s="37"/>
      <c r="Y62" s="37"/>
      <c r="Z62" s="37"/>
      <c r="AA62" s="37">
        <v>0.2</v>
      </c>
    </row>
    <row r="63" spans="1:27" x14ac:dyDescent="0.25">
      <c r="A63" s="37" t="s">
        <v>326</v>
      </c>
      <c r="B63" s="37" t="s">
        <v>205</v>
      </c>
      <c r="C63" s="37" t="s">
        <v>327</v>
      </c>
      <c r="D63" s="37" t="s">
        <v>328</v>
      </c>
      <c r="E63" s="37" t="s">
        <v>126</v>
      </c>
      <c r="F63" s="37" t="s">
        <v>329</v>
      </c>
      <c r="G63" s="37" t="s">
        <v>119</v>
      </c>
      <c r="H63" s="37" t="s">
        <v>58</v>
      </c>
      <c r="I63" s="37" t="s">
        <v>330</v>
      </c>
      <c r="J63" s="37" t="s">
        <v>135</v>
      </c>
      <c r="K63" s="37" t="s">
        <v>58</v>
      </c>
      <c r="L63" s="37" t="s">
        <v>122</v>
      </c>
      <c r="M63" s="37" t="s">
        <v>123</v>
      </c>
      <c r="N63" s="37" t="s">
        <v>58</v>
      </c>
      <c r="O63" s="37" t="s">
        <v>122</v>
      </c>
      <c r="P63" s="37"/>
      <c r="Q63" s="37"/>
      <c r="R63" s="37"/>
      <c r="S63" s="37"/>
      <c r="T63" s="37"/>
      <c r="U63" s="37" t="s">
        <v>128</v>
      </c>
      <c r="V63" s="37" t="s">
        <v>58</v>
      </c>
      <c r="W63" s="37" t="s">
        <v>122</v>
      </c>
      <c r="X63" s="37"/>
      <c r="Y63" s="37"/>
      <c r="Z63" s="37"/>
      <c r="AA63" s="37">
        <v>0.2</v>
      </c>
    </row>
    <row r="64" spans="1:27" x14ac:dyDescent="0.25">
      <c r="A64" s="37" t="s">
        <v>314</v>
      </c>
      <c r="B64" s="37" t="s">
        <v>331</v>
      </c>
      <c r="C64" s="37" t="s">
        <v>332</v>
      </c>
      <c r="D64" s="37" t="s">
        <v>158</v>
      </c>
      <c r="E64" s="37" t="s">
        <v>126</v>
      </c>
      <c r="F64" s="37"/>
      <c r="G64" s="37" t="s">
        <v>119</v>
      </c>
      <c r="H64" s="37" t="s">
        <v>159</v>
      </c>
      <c r="I64" s="37" t="s">
        <v>333</v>
      </c>
      <c r="J64" s="37" t="s">
        <v>121</v>
      </c>
      <c r="K64" s="37" t="s">
        <v>159</v>
      </c>
      <c r="L64" s="37" t="s">
        <v>122</v>
      </c>
      <c r="M64" s="37" t="s">
        <v>136</v>
      </c>
      <c r="N64" s="37" t="s">
        <v>166</v>
      </c>
      <c r="O64" s="37" t="s">
        <v>122</v>
      </c>
      <c r="P64" s="37"/>
      <c r="Q64" s="37"/>
      <c r="R64" s="37"/>
      <c r="S64" s="37"/>
      <c r="T64" s="37"/>
      <c r="U64" s="37" t="s">
        <v>128</v>
      </c>
      <c r="V64" s="37" t="s">
        <v>166</v>
      </c>
      <c r="W64" s="37" t="s">
        <v>122</v>
      </c>
      <c r="X64" s="37"/>
      <c r="Y64" s="37"/>
      <c r="Z64" s="37"/>
      <c r="AA64" s="37">
        <v>0.2</v>
      </c>
    </row>
    <row r="65" spans="1:27" x14ac:dyDescent="0.25">
      <c r="A65" s="37" t="s">
        <v>326</v>
      </c>
      <c r="B65" s="37" t="s">
        <v>251</v>
      </c>
      <c r="C65" s="37" t="s">
        <v>334</v>
      </c>
      <c r="D65" s="37" t="s">
        <v>117</v>
      </c>
      <c r="E65" s="37" t="s">
        <v>126</v>
      </c>
      <c r="F65" s="37"/>
      <c r="G65" s="37" t="s">
        <v>119</v>
      </c>
      <c r="H65" s="37" t="s">
        <v>61</v>
      </c>
      <c r="I65" s="37" t="s">
        <v>335</v>
      </c>
      <c r="J65" s="37" t="s">
        <v>121</v>
      </c>
      <c r="K65" s="37" t="s">
        <v>61</v>
      </c>
      <c r="L65" s="37" t="s">
        <v>122</v>
      </c>
      <c r="M65" s="37" t="s">
        <v>123</v>
      </c>
      <c r="N65" s="37" t="s">
        <v>61</v>
      </c>
      <c r="O65" s="37" t="s">
        <v>122</v>
      </c>
      <c r="P65" s="37" t="s">
        <v>124</v>
      </c>
      <c r="Q65" s="37" t="s">
        <v>165</v>
      </c>
      <c r="R65" s="37" t="s">
        <v>166</v>
      </c>
      <c r="S65" s="37" t="s">
        <v>127</v>
      </c>
      <c r="T65" s="37" t="s">
        <v>127</v>
      </c>
      <c r="U65" s="37" t="s">
        <v>128</v>
      </c>
      <c r="V65" s="37" t="s">
        <v>61</v>
      </c>
      <c r="W65" s="37" t="s">
        <v>122</v>
      </c>
      <c r="X65" s="37"/>
      <c r="Y65" s="37"/>
      <c r="Z65" s="37"/>
      <c r="AA65" s="37">
        <v>0.2</v>
      </c>
    </row>
    <row r="66" spans="1:27" x14ac:dyDescent="0.25">
      <c r="A66" s="37" t="s">
        <v>314</v>
      </c>
      <c r="B66" s="37" t="s">
        <v>167</v>
      </c>
      <c r="C66" s="37" t="s">
        <v>336</v>
      </c>
      <c r="D66" s="37" t="s">
        <v>169</v>
      </c>
      <c r="E66" s="37" t="s">
        <v>337</v>
      </c>
      <c r="F66" s="37"/>
      <c r="G66" s="37" t="s">
        <v>119</v>
      </c>
      <c r="H66" s="37" t="s">
        <v>58</v>
      </c>
      <c r="I66" s="37" t="s">
        <v>338</v>
      </c>
      <c r="J66" s="37" t="s">
        <v>135</v>
      </c>
      <c r="K66" s="37" t="s">
        <v>58</v>
      </c>
      <c r="L66" s="37" t="s">
        <v>122</v>
      </c>
      <c r="M66" s="37" t="s">
        <v>136</v>
      </c>
      <c r="N66" s="37" t="s">
        <v>58</v>
      </c>
      <c r="O66" s="37" t="s">
        <v>122</v>
      </c>
      <c r="P66" s="37" t="s">
        <v>218</v>
      </c>
      <c r="Q66" s="37" t="s">
        <v>174</v>
      </c>
      <c r="R66" s="37" t="s">
        <v>219</v>
      </c>
      <c r="S66" s="37" t="s">
        <v>127</v>
      </c>
      <c r="T66" s="37" t="s">
        <v>175</v>
      </c>
      <c r="U66" s="37" t="s">
        <v>128</v>
      </c>
      <c r="V66" s="37" t="s">
        <v>58</v>
      </c>
      <c r="W66" s="37" t="s">
        <v>122</v>
      </c>
      <c r="X66" s="37"/>
      <c r="Y66" s="37"/>
      <c r="Z66" s="37"/>
      <c r="AA66" s="37">
        <v>0.2</v>
      </c>
    </row>
    <row r="67" spans="1:27" x14ac:dyDescent="0.25">
      <c r="A67" s="37" t="s">
        <v>314</v>
      </c>
      <c r="B67" s="37" t="s">
        <v>56</v>
      </c>
      <c r="C67" s="37" t="s">
        <v>339</v>
      </c>
      <c r="D67" s="37" t="s">
        <v>292</v>
      </c>
      <c r="E67" s="37" t="s">
        <v>126</v>
      </c>
      <c r="F67" s="37"/>
      <c r="G67" s="37" t="s">
        <v>119</v>
      </c>
      <c r="H67" s="37" t="s">
        <v>58</v>
      </c>
      <c r="I67" s="37" t="s">
        <v>340</v>
      </c>
      <c r="J67" s="37" t="s">
        <v>121</v>
      </c>
      <c r="K67" s="37" t="s">
        <v>161</v>
      </c>
      <c r="L67" s="37" t="s">
        <v>122</v>
      </c>
      <c r="M67" s="37" t="s">
        <v>123</v>
      </c>
      <c r="N67" s="37" t="s">
        <v>341</v>
      </c>
      <c r="O67" s="37" t="s">
        <v>122</v>
      </c>
      <c r="P67" s="37"/>
      <c r="Q67" s="37"/>
      <c r="R67" s="37"/>
      <c r="S67" s="37"/>
      <c r="T67" s="37"/>
      <c r="U67" s="37" t="s">
        <v>128</v>
      </c>
      <c r="V67" s="37" t="s">
        <v>341</v>
      </c>
      <c r="W67" s="37" t="s">
        <v>122</v>
      </c>
      <c r="X67" s="37"/>
      <c r="Y67" s="37"/>
      <c r="Z67" s="37"/>
      <c r="AA67" s="37">
        <v>0.2</v>
      </c>
    </row>
    <row r="68" spans="1:27" x14ac:dyDescent="0.25">
      <c r="A68" s="37" t="s">
        <v>314</v>
      </c>
      <c r="B68" s="37" t="s">
        <v>342</v>
      </c>
      <c r="C68" s="37" t="s">
        <v>343</v>
      </c>
      <c r="D68" s="37" t="s">
        <v>328</v>
      </c>
      <c r="E68" s="37" t="s">
        <v>126</v>
      </c>
      <c r="F68" s="37"/>
      <c r="G68" s="37" t="s">
        <v>119</v>
      </c>
      <c r="H68" s="37" t="s">
        <v>58</v>
      </c>
      <c r="I68" s="37" t="s">
        <v>344</v>
      </c>
      <c r="J68" s="37" t="s">
        <v>135</v>
      </c>
      <c r="K68" s="37" t="s">
        <v>58</v>
      </c>
      <c r="L68" s="37" t="s">
        <v>122</v>
      </c>
      <c r="M68" s="37" t="s">
        <v>123</v>
      </c>
      <c r="N68" s="37" t="s">
        <v>58</v>
      </c>
      <c r="O68" s="37" t="s">
        <v>122</v>
      </c>
      <c r="P68" s="37"/>
      <c r="Q68" s="37"/>
      <c r="R68" s="37"/>
      <c r="S68" s="37"/>
      <c r="T68" s="37"/>
      <c r="U68" s="37" t="s">
        <v>128</v>
      </c>
      <c r="V68" s="37" t="s">
        <v>58</v>
      </c>
      <c r="W68" s="37" t="s">
        <v>122</v>
      </c>
      <c r="X68" s="37"/>
      <c r="Y68" s="37"/>
      <c r="Z68" s="37"/>
      <c r="AA68" s="37">
        <v>0.2</v>
      </c>
    </row>
    <row r="69" spans="1:27" x14ac:dyDescent="0.25">
      <c r="A69" s="37" t="s">
        <v>345</v>
      </c>
      <c r="B69" s="37" t="s">
        <v>167</v>
      </c>
      <c r="C69" s="37" t="s">
        <v>346</v>
      </c>
      <c r="D69" s="37" t="s">
        <v>169</v>
      </c>
      <c r="E69" s="37" t="s">
        <v>337</v>
      </c>
      <c r="F69" s="37" t="s">
        <v>347</v>
      </c>
      <c r="G69" s="37" t="s">
        <v>119</v>
      </c>
      <c r="H69" s="37" t="s">
        <v>58</v>
      </c>
      <c r="I69" s="37" t="s">
        <v>348</v>
      </c>
      <c r="J69" s="37" t="s">
        <v>135</v>
      </c>
      <c r="K69" s="37" t="s">
        <v>58</v>
      </c>
      <c r="L69" s="37" t="s">
        <v>122</v>
      </c>
      <c r="M69" s="37" t="s">
        <v>136</v>
      </c>
      <c r="N69" s="37" t="s">
        <v>58</v>
      </c>
      <c r="O69" s="37" t="s">
        <v>122</v>
      </c>
      <c r="P69" s="37" t="s">
        <v>218</v>
      </c>
      <c r="Q69" s="37" t="s">
        <v>174</v>
      </c>
      <c r="R69" s="37" t="s">
        <v>219</v>
      </c>
      <c r="S69" s="37" t="s">
        <v>127</v>
      </c>
      <c r="T69" s="37" t="s">
        <v>175</v>
      </c>
      <c r="U69" s="37" t="s">
        <v>128</v>
      </c>
      <c r="V69" s="37" t="s">
        <v>58</v>
      </c>
      <c r="W69" s="37" t="s">
        <v>122</v>
      </c>
      <c r="X69" s="37"/>
      <c r="Y69" s="37"/>
      <c r="Z69" s="37"/>
      <c r="AA69" s="37">
        <v>0.2</v>
      </c>
    </row>
    <row r="70" spans="1:27" x14ac:dyDescent="0.25">
      <c r="A70" s="37" t="s">
        <v>345</v>
      </c>
      <c r="B70" s="37" t="s">
        <v>115</v>
      </c>
      <c r="C70" s="37" t="s">
        <v>349</v>
      </c>
      <c r="D70" s="37" t="s">
        <v>121</v>
      </c>
      <c r="E70" s="37" t="s">
        <v>337</v>
      </c>
      <c r="F70" s="37"/>
      <c r="G70" s="37" t="s">
        <v>350</v>
      </c>
      <c r="H70" s="37" t="s">
        <v>58</v>
      </c>
      <c r="I70" s="37" t="s">
        <v>351</v>
      </c>
      <c r="J70" s="37" t="s">
        <v>149</v>
      </c>
      <c r="K70" s="37" t="s">
        <v>58</v>
      </c>
      <c r="L70" s="37" t="s">
        <v>122</v>
      </c>
      <c r="M70" s="37" t="s">
        <v>136</v>
      </c>
      <c r="N70" s="37" t="s">
        <v>58</v>
      </c>
      <c r="O70" s="37" t="s">
        <v>122</v>
      </c>
      <c r="P70" s="37" t="s">
        <v>352</v>
      </c>
      <c r="Q70" s="37" t="s">
        <v>353</v>
      </c>
      <c r="R70" s="37" t="s">
        <v>61</v>
      </c>
      <c r="S70" s="37" t="s">
        <v>127</v>
      </c>
      <c r="T70" s="37" t="s">
        <v>127</v>
      </c>
      <c r="U70" s="37" t="s">
        <v>128</v>
      </c>
      <c r="V70" s="37" t="s">
        <v>58</v>
      </c>
      <c r="W70" s="37" t="s">
        <v>122</v>
      </c>
      <c r="X70" s="37" t="s">
        <v>136</v>
      </c>
      <c r="Y70" s="37" t="s">
        <v>58</v>
      </c>
      <c r="Z70" s="37"/>
      <c r="AA70" s="37">
        <v>0.2</v>
      </c>
    </row>
    <row r="71" spans="1:27" x14ac:dyDescent="0.25">
      <c r="A71" s="37" t="s">
        <v>345</v>
      </c>
      <c r="B71" s="37" t="s">
        <v>242</v>
      </c>
      <c r="C71" s="37" t="s">
        <v>354</v>
      </c>
      <c r="D71" s="37" t="s">
        <v>328</v>
      </c>
      <c r="E71" s="37" t="s">
        <v>337</v>
      </c>
      <c r="F71" s="37"/>
      <c r="G71" s="37" t="s">
        <v>119</v>
      </c>
      <c r="H71" s="37" t="s">
        <v>58</v>
      </c>
      <c r="I71" s="37" t="s">
        <v>355</v>
      </c>
      <c r="J71" s="37" t="s">
        <v>135</v>
      </c>
      <c r="K71" s="37" t="s">
        <v>58</v>
      </c>
      <c r="L71" s="37" t="s">
        <v>122</v>
      </c>
      <c r="M71" s="37" t="s">
        <v>123</v>
      </c>
      <c r="N71" s="37" t="s">
        <v>58</v>
      </c>
      <c r="O71" s="37" t="s">
        <v>122</v>
      </c>
      <c r="P71" s="37"/>
      <c r="Q71" s="37"/>
      <c r="R71" s="37"/>
      <c r="S71" s="37"/>
      <c r="T71" s="37"/>
      <c r="U71" s="37" t="s">
        <v>128</v>
      </c>
      <c r="V71" s="37" t="s">
        <v>58</v>
      </c>
      <c r="W71" s="37" t="s">
        <v>122</v>
      </c>
      <c r="X71" s="37"/>
      <c r="Y71" s="37"/>
      <c r="Z71" s="37"/>
      <c r="AA71" s="37">
        <v>0.2</v>
      </c>
    </row>
    <row r="72" spans="1:27" x14ac:dyDescent="0.25">
      <c r="A72" s="37" t="s">
        <v>345</v>
      </c>
      <c r="B72" s="37" t="s">
        <v>331</v>
      </c>
      <c r="C72" s="37" t="s">
        <v>356</v>
      </c>
      <c r="D72" s="37" t="s">
        <v>328</v>
      </c>
      <c r="E72" s="37" t="s">
        <v>337</v>
      </c>
      <c r="F72" s="37" t="s">
        <v>357</v>
      </c>
      <c r="G72" s="37" t="s">
        <v>119</v>
      </c>
      <c r="H72" s="37" t="s">
        <v>58</v>
      </c>
      <c r="I72" s="37" t="s">
        <v>358</v>
      </c>
      <c r="J72" s="37" t="s">
        <v>135</v>
      </c>
      <c r="K72" s="37" t="s">
        <v>58</v>
      </c>
      <c r="L72" s="37" t="s">
        <v>122</v>
      </c>
      <c r="M72" s="37" t="s">
        <v>123</v>
      </c>
      <c r="N72" s="37" t="s">
        <v>58</v>
      </c>
      <c r="O72" s="37" t="s">
        <v>122</v>
      </c>
      <c r="P72" s="37"/>
      <c r="Q72" s="37"/>
      <c r="R72" s="37"/>
      <c r="S72" s="37"/>
      <c r="T72" s="37"/>
      <c r="U72" s="37" t="s">
        <v>128</v>
      </c>
      <c r="V72" s="37" t="s">
        <v>58</v>
      </c>
      <c r="W72" s="37" t="s">
        <v>122</v>
      </c>
      <c r="X72" s="37"/>
      <c r="Y72" s="37"/>
      <c r="Z72" s="37"/>
      <c r="AA72" s="37">
        <v>0.2</v>
      </c>
    </row>
    <row r="73" spans="1:27" x14ac:dyDescent="0.25">
      <c r="A73" s="37" t="s">
        <v>345</v>
      </c>
      <c r="B73" s="37" t="s">
        <v>359</v>
      </c>
      <c r="C73" s="37" t="s">
        <v>360</v>
      </c>
      <c r="D73" s="37" t="s">
        <v>169</v>
      </c>
      <c r="E73" s="37" t="s">
        <v>337</v>
      </c>
      <c r="F73" s="37"/>
      <c r="G73" s="37" t="s">
        <v>119</v>
      </c>
      <c r="H73" s="37" t="s">
        <v>58</v>
      </c>
      <c r="I73" s="37" t="s">
        <v>361</v>
      </c>
      <c r="J73" s="37" t="s">
        <v>135</v>
      </c>
      <c r="K73" s="37" t="s">
        <v>58</v>
      </c>
      <c r="L73" s="37" t="s">
        <v>122</v>
      </c>
      <c r="M73" s="37" t="s">
        <v>136</v>
      </c>
      <c r="N73" s="37" t="s">
        <v>58</v>
      </c>
      <c r="O73" s="37" t="s">
        <v>122</v>
      </c>
      <c r="P73" s="37" t="s">
        <v>218</v>
      </c>
      <c r="Q73" s="37" t="s">
        <v>174</v>
      </c>
      <c r="R73" s="37" t="s">
        <v>219</v>
      </c>
      <c r="S73" s="37" t="s">
        <v>127</v>
      </c>
      <c r="T73" s="37" t="s">
        <v>127</v>
      </c>
      <c r="U73" s="37" t="s">
        <v>128</v>
      </c>
      <c r="V73" s="37" t="s">
        <v>58</v>
      </c>
      <c r="W73" s="37" t="s">
        <v>122</v>
      </c>
      <c r="X73" s="37"/>
      <c r="Y73" s="37"/>
      <c r="Z73" s="37"/>
      <c r="AA73" s="37">
        <v>0.2</v>
      </c>
    </row>
    <row r="74" spans="1:27" x14ac:dyDescent="0.25">
      <c r="A74" s="37" t="s">
        <v>345</v>
      </c>
      <c r="B74" s="37" t="s">
        <v>362</v>
      </c>
      <c r="C74" s="37" t="s">
        <v>363</v>
      </c>
      <c r="D74" s="37" t="s">
        <v>123</v>
      </c>
      <c r="E74" s="37" t="s">
        <v>337</v>
      </c>
      <c r="F74" s="37" t="s">
        <v>364</v>
      </c>
      <c r="G74" s="37" t="s">
        <v>365</v>
      </c>
      <c r="H74" s="37" t="s">
        <v>61</v>
      </c>
      <c r="I74" s="37" t="s">
        <v>366</v>
      </c>
      <c r="J74" s="37" t="s">
        <v>149</v>
      </c>
      <c r="K74" s="37" t="s">
        <v>297</v>
      </c>
      <c r="L74" s="37" t="s">
        <v>122</v>
      </c>
      <c r="M74" s="37" t="s">
        <v>136</v>
      </c>
      <c r="N74" s="37" t="s">
        <v>297</v>
      </c>
      <c r="O74" s="37" t="s">
        <v>122</v>
      </c>
      <c r="P74" s="37"/>
      <c r="Q74" s="37"/>
      <c r="R74" s="37"/>
      <c r="S74" s="37"/>
      <c r="T74" s="37"/>
      <c r="U74" s="37" t="s">
        <v>128</v>
      </c>
      <c r="V74" s="37" t="s">
        <v>297</v>
      </c>
      <c r="W74" s="37" t="s">
        <v>122</v>
      </c>
      <c r="X74" s="37"/>
      <c r="Y74" s="37"/>
      <c r="Z74" s="37"/>
      <c r="AA74" s="37">
        <v>0.2</v>
      </c>
    </row>
    <row r="75" spans="1:27" x14ac:dyDescent="0.25">
      <c r="A75" s="37" t="s">
        <v>367</v>
      </c>
      <c r="B75" s="37" t="s">
        <v>115</v>
      </c>
      <c r="C75" s="37" t="s">
        <v>368</v>
      </c>
      <c r="D75" s="37" t="s">
        <v>117</v>
      </c>
      <c r="E75" s="37" t="s">
        <v>337</v>
      </c>
      <c r="F75" s="37"/>
      <c r="G75" s="37" t="s">
        <v>119</v>
      </c>
      <c r="H75" s="37" t="s">
        <v>61</v>
      </c>
      <c r="I75" s="37" t="s">
        <v>369</v>
      </c>
      <c r="J75" s="37" t="s">
        <v>121</v>
      </c>
      <c r="K75" s="37" t="s">
        <v>61</v>
      </c>
      <c r="L75" s="37" t="s">
        <v>122</v>
      </c>
      <c r="M75" s="37" t="s">
        <v>123</v>
      </c>
      <c r="N75" s="37" t="s">
        <v>61</v>
      </c>
      <c r="O75" s="37" t="s">
        <v>122</v>
      </c>
      <c r="P75" s="37" t="s">
        <v>124</v>
      </c>
      <c r="Q75" s="37" t="s">
        <v>125</v>
      </c>
      <c r="R75" s="37" t="s">
        <v>126</v>
      </c>
      <c r="S75" s="37" t="s">
        <v>127</v>
      </c>
      <c r="T75" s="37" t="s">
        <v>127</v>
      </c>
      <c r="U75" s="37" t="s">
        <v>128</v>
      </c>
      <c r="V75" s="37" t="s">
        <v>61</v>
      </c>
      <c r="W75" s="37" t="s">
        <v>122</v>
      </c>
      <c r="X75" s="37"/>
      <c r="Y75" s="37"/>
      <c r="Z75" s="37"/>
      <c r="AA75" s="37">
        <v>0.2</v>
      </c>
    </row>
    <row r="76" spans="1:27" x14ac:dyDescent="0.25">
      <c r="A76" s="37" t="s">
        <v>345</v>
      </c>
      <c r="B76" s="37" t="s">
        <v>205</v>
      </c>
      <c r="C76" s="37" t="s">
        <v>370</v>
      </c>
      <c r="D76" s="37" t="s">
        <v>178</v>
      </c>
      <c r="E76" s="37" t="s">
        <v>337</v>
      </c>
      <c r="F76" s="37"/>
      <c r="G76" s="37" t="s">
        <v>119</v>
      </c>
      <c r="H76" s="37" t="s">
        <v>337</v>
      </c>
      <c r="I76" s="37" t="s">
        <v>371</v>
      </c>
      <c r="J76" s="37" t="s">
        <v>121</v>
      </c>
      <c r="K76" s="37" t="s">
        <v>58</v>
      </c>
      <c r="L76" s="37" t="s">
        <v>122</v>
      </c>
      <c r="M76" s="37" t="s">
        <v>136</v>
      </c>
      <c r="N76" s="37" t="s">
        <v>58</v>
      </c>
      <c r="O76" s="37" t="s">
        <v>122</v>
      </c>
      <c r="P76" s="37"/>
      <c r="Q76" s="37"/>
      <c r="R76" s="37"/>
      <c r="S76" s="37"/>
      <c r="T76" s="37"/>
      <c r="U76" s="37" t="s">
        <v>128</v>
      </c>
      <c r="V76" s="37" t="s">
        <v>58</v>
      </c>
      <c r="W76" s="37" t="s">
        <v>122</v>
      </c>
      <c r="X76" s="37" t="s">
        <v>136</v>
      </c>
      <c r="Y76" s="37" t="s">
        <v>58</v>
      </c>
      <c r="Z76" s="37"/>
      <c r="AA76" s="37">
        <v>0.2</v>
      </c>
    </row>
    <row r="77" spans="1:27" x14ac:dyDescent="0.25">
      <c r="A77" s="37" t="s">
        <v>345</v>
      </c>
      <c r="B77" s="37" t="s">
        <v>303</v>
      </c>
      <c r="C77" s="37" t="s">
        <v>372</v>
      </c>
      <c r="D77" s="37" t="s">
        <v>292</v>
      </c>
      <c r="E77" s="37" t="s">
        <v>337</v>
      </c>
      <c r="F77" s="37"/>
      <c r="G77" s="37" t="s">
        <v>119</v>
      </c>
      <c r="H77" s="37" t="s">
        <v>58</v>
      </c>
      <c r="I77" s="37" t="s">
        <v>373</v>
      </c>
      <c r="J77" s="37" t="s">
        <v>121</v>
      </c>
      <c r="K77" s="37" t="s">
        <v>187</v>
      </c>
      <c r="L77" s="37" t="s">
        <v>374</v>
      </c>
      <c r="M77" s="37" t="s">
        <v>123</v>
      </c>
      <c r="N77" s="37" t="s">
        <v>341</v>
      </c>
      <c r="O77" s="37" t="s">
        <v>122</v>
      </c>
      <c r="P77" s="37"/>
      <c r="Q77" s="37"/>
      <c r="R77" s="37"/>
      <c r="S77" s="37"/>
      <c r="T77" s="37"/>
      <c r="U77" s="37" t="s">
        <v>128</v>
      </c>
      <c r="V77" s="37" t="s">
        <v>341</v>
      </c>
      <c r="W77" s="37" t="s">
        <v>122</v>
      </c>
      <c r="X77" s="37"/>
      <c r="Y77" s="37"/>
      <c r="Z77" s="37"/>
      <c r="AA77" s="37">
        <v>0.2</v>
      </c>
    </row>
    <row r="78" spans="1:27" x14ac:dyDescent="0.25">
      <c r="A78" s="37" t="s">
        <v>345</v>
      </c>
      <c r="B78" s="37" t="s">
        <v>176</v>
      </c>
      <c r="C78" s="37" t="s">
        <v>375</v>
      </c>
      <c r="D78" s="37" t="s">
        <v>178</v>
      </c>
      <c r="E78" s="37" t="s">
        <v>337</v>
      </c>
      <c r="F78" s="37" t="s">
        <v>376</v>
      </c>
      <c r="G78" s="37" t="s">
        <v>119</v>
      </c>
      <c r="H78" s="37" t="s">
        <v>337</v>
      </c>
      <c r="I78" s="37" t="s">
        <v>377</v>
      </c>
      <c r="J78" s="37" t="s">
        <v>135</v>
      </c>
      <c r="K78" s="37" t="s">
        <v>58</v>
      </c>
      <c r="L78" s="37" t="s">
        <v>122</v>
      </c>
      <c r="M78" s="37" t="s">
        <v>136</v>
      </c>
      <c r="N78" s="37" t="s">
        <v>58</v>
      </c>
      <c r="O78" s="37" t="s">
        <v>122</v>
      </c>
      <c r="P78" s="37" t="s">
        <v>181</v>
      </c>
      <c r="Q78" s="37"/>
      <c r="R78" s="37"/>
      <c r="S78" s="37"/>
      <c r="T78" s="37"/>
      <c r="U78" s="37" t="s">
        <v>128</v>
      </c>
      <c r="V78" s="37" t="s">
        <v>58</v>
      </c>
      <c r="W78" s="37" t="s">
        <v>122</v>
      </c>
      <c r="X78" s="37"/>
      <c r="Y78" s="37"/>
      <c r="Z78" s="37"/>
      <c r="AA78" s="37">
        <v>0.2</v>
      </c>
    </row>
    <row r="79" spans="1:27" x14ac:dyDescent="0.25">
      <c r="A79" s="37" t="s">
        <v>367</v>
      </c>
      <c r="B79" s="37" t="s">
        <v>331</v>
      </c>
      <c r="C79" s="37" t="s">
        <v>378</v>
      </c>
      <c r="D79" s="37" t="s">
        <v>178</v>
      </c>
      <c r="E79" s="37" t="s">
        <v>337</v>
      </c>
      <c r="F79" s="37"/>
      <c r="G79" s="37" t="s">
        <v>119</v>
      </c>
      <c r="H79" s="37" t="s">
        <v>337</v>
      </c>
      <c r="I79" s="37" t="s">
        <v>379</v>
      </c>
      <c r="J79" s="37" t="s">
        <v>121</v>
      </c>
      <c r="K79" s="37" t="s">
        <v>58</v>
      </c>
      <c r="L79" s="37" t="s">
        <v>122</v>
      </c>
      <c r="M79" s="37" t="s">
        <v>136</v>
      </c>
      <c r="N79" s="37" t="s">
        <v>58</v>
      </c>
      <c r="O79" s="37" t="s">
        <v>122</v>
      </c>
      <c r="P79" s="37"/>
      <c r="Q79" s="37"/>
      <c r="R79" s="37"/>
      <c r="S79" s="37"/>
      <c r="T79" s="37"/>
      <c r="U79" s="37" t="s">
        <v>128</v>
      </c>
      <c r="V79" s="37" t="s">
        <v>58</v>
      </c>
      <c r="W79" s="37" t="s">
        <v>122</v>
      </c>
      <c r="X79" s="37"/>
      <c r="Y79" s="37"/>
      <c r="Z79" s="37"/>
      <c r="AA79" s="37">
        <v>0.2</v>
      </c>
    </row>
    <row r="80" spans="1:27" x14ac:dyDescent="0.25">
      <c r="A80" s="37" t="s">
        <v>345</v>
      </c>
      <c r="B80" s="37" t="s">
        <v>380</v>
      </c>
      <c r="C80" s="37" t="s">
        <v>381</v>
      </c>
      <c r="D80" s="37" t="s">
        <v>328</v>
      </c>
      <c r="E80" s="37" t="s">
        <v>337</v>
      </c>
      <c r="F80" s="37"/>
      <c r="G80" s="37" t="s">
        <v>119</v>
      </c>
      <c r="H80" s="37" t="s">
        <v>58</v>
      </c>
      <c r="I80" s="37" t="s">
        <v>382</v>
      </c>
      <c r="J80" s="37" t="s">
        <v>135</v>
      </c>
      <c r="K80" s="37" t="s">
        <v>58</v>
      </c>
      <c r="L80" s="37" t="s">
        <v>122</v>
      </c>
      <c r="M80" s="37" t="s">
        <v>123</v>
      </c>
      <c r="N80" s="37" t="s">
        <v>58</v>
      </c>
      <c r="O80" s="37" t="s">
        <v>122</v>
      </c>
      <c r="P80" s="37" t="s">
        <v>383</v>
      </c>
      <c r="Q80" s="37"/>
      <c r="R80" s="37"/>
      <c r="S80" s="37"/>
      <c r="T80" s="37"/>
      <c r="U80" s="37" t="s">
        <v>128</v>
      </c>
      <c r="V80" s="37" t="s">
        <v>58</v>
      </c>
      <c r="W80" s="37" t="s">
        <v>122</v>
      </c>
      <c r="X80" s="37"/>
      <c r="Y80" s="37"/>
      <c r="Z80" s="37"/>
      <c r="AA80" s="37">
        <v>0.2</v>
      </c>
    </row>
    <row r="81" spans="1:27" x14ac:dyDescent="0.25">
      <c r="A81" s="37" t="s">
        <v>367</v>
      </c>
      <c r="B81" s="37" t="s">
        <v>205</v>
      </c>
      <c r="C81" s="37" t="s">
        <v>384</v>
      </c>
      <c r="D81" s="37" t="s">
        <v>214</v>
      </c>
      <c r="E81" s="37" t="s">
        <v>337</v>
      </c>
      <c r="F81" s="37"/>
      <c r="G81" s="37" t="s">
        <v>119</v>
      </c>
      <c r="H81" s="37" t="s">
        <v>337</v>
      </c>
      <c r="I81" s="37" t="s">
        <v>385</v>
      </c>
      <c r="J81" s="37" t="s">
        <v>135</v>
      </c>
      <c r="K81" s="37" t="s">
        <v>337</v>
      </c>
      <c r="L81" s="37" t="s">
        <v>122</v>
      </c>
      <c r="M81" s="37" t="s">
        <v>123</v>
      </c>
      <c r="N81" s="37" t="s">
        <v>61</v>
      </c>
      <c r="O81" s="37" t="s">
        <v>122</v>
      </c>
      <c r="P81" s="37"/>
      <c r="Q81" s="37"/>
      <c r="R81" s="37"/>
      <c r="S81" s="37"/>
      <c r="T81" s="37"/>
      <c r="U81" s="37" t="s">
        <v>128</v>
      </c>
      <c r="V81" s="37" t="s">
        <v>61</v>
      </c>
      <c r="W81" s="37" t="s">
        <v>122</v>
      </c>
      <c r="X81" s="37"/>
      <c r="Y81" s="37"/>
      <c r="Z81" s="37" t="s">
        <v>386</v>
      </c>
      <c r="AA81" s="37">
        <v>0.2</v>
      </c>
    </row>
    <row r="82" spans="1:27" x14ac:dyDescent="0.25">
      <c r="A82" s="37" t="s">
        <v>345</v>
      </c>
      <c r="B82" s="37" t="s">
        <v>156</v>
      </c>
      <c r="C82" s="37" t="s">
        <v>387</v>
      </c>
      <c r="D82" s="37" t="s">
        <v>158</v>
      </c>
      <c r="E82" s="37" t="s">
        <v>337</v>
      </c>
      <c r="F82" s="37"/>
      <c r="G82" s="37" t="s">
        <v>119</v>
      </c>
      <c r="H82" s="37" t="s">
        <v>159</v>
      </c>
      <c r="I82" s="37" t="s">
        <v>388</v>
      </c>
      <c r="J82" s="37" t="s">
        <v>121</v>
      </c>
      <c r="K82" s="37" t="s">
        <v>159</v>
      </c>
      <c r="L82" s="37" t="s">
        <v>122</v>
      </c>
      <c r="M82" s="37" t="s">
        <v>136</v>
      </c>
      <c r="N82" s="37" t="s">
        <v>166</v>
      </c>
      <c r="O82" s="37" t="s">
        <v>122</v>
      </c>
      <c r="P82" s="37"/>
      <c r="Q82" s="37"/>
      <c r="R82" s="37"/>
      <c r="S82" s="37"/>
      <c r="T82" s="37"/>
      <c r="U82" s="37" t="s">
        <v>128</v>
      </c>
      <c r="V82" s="37" t="s">
        <v>166</v>
      </c>
      <c r="W82" s="37" t="s">
        <v>122</v>
      </c>
      <c r="X82" s="37" t="s">
        <v>136</v>
      </c>
      <c r="Y82" s="37" t="s">
        <v>166</v>
      </c>
      <c r="Z82" s="37"/>
      <c r="AA82" s="37">
        <v>0.2</v>
      </c>
    </row>
    <row r="83" spans="1:27" x14ac:dyDescent="0.25">
      <c r="A83" s="37" t="s">
        <v>45</v>
      </c>
      <c r="B83" s="37" t="s">
        <v>115</v>
      </c>
      <c r="C83" s="37" t="s">
        <v>389</v>
      </c>
      <c r="D83" s="37" t="s">
        <v>390</v>
      </c>
      <c r="E83" s="37" t="s">
        <v>50</v>
      </c>
      <c r="F83" s="37"/>
      <c r="G83" s="37" t="s">
        <v>119</v>
      </c>
      <c r="H83" s="37" t="s">
        <v>297</v>
      </c>
      <c r="I83" s="37" t="s">
        <v>391</v>
      </c>
      <c r="J83" s="37" t="s">
        <v>135</v>
      </c>
      <c r="K83" s="37" t="s">
        <v>297</v>
      </c>
      <c r="L83" s="37" t="s">
        <v>122</v>
      </c>
      <c r="M83" s="37" t="s">
        <v>136</v>
      </c>
      <c r="N83" s="37" t="s">
        <v>64</v>
      </c>
      <c r="O83" s="37" t="s">
        <v>122</v>
      </c>
      <c r="P83" s="37" t="s">
        <v>392</v>
      </c>
      <c r="Q83" s="37" t="s">
        <v>125</v>
      </c>
      <c r="R83" s="37" t="s">
        <v>68</v>
      </c>
      <c r="S83" s="37" t="s">
        <v>127</v>
      </c>
      <c r="T83" s="37" t="s">
        <v>127</v>
      </c>
      <c r="U83" s="37" t="s">
        <v>128</v>
      </c>
      <c r="V83" s="37" t="s">
        <v>64</v>
      </c>
      <c r="W83" s="37" t="s">
        <v>122</v>
      </c>
      <c r="X83" s="37"/>
      <c r="Y83" s="37"/>
      <c r="Z83" s="37"/>
      <c r="AA83" s="37">
        <v>0.2</v>
      </c>
    </row>
    <row r="84" spans="1:27" x14ac:dyDescent="0.25">
      <c r="A84" s="37" t="s">
        <v>45</v>
      </c>
      <c r="B84" s="37" t="s">
        <v>130</v>
      </c>
      <c r="C84" s="37" t="s">
        <v>393</v>
      </c>
      <c r="D84" s="37" t="s">
        <v>146</v>
      </c>
      <c r="E84" s="37" t="s">
        <v>50</v>
      </c>
      <c r="F84" s="37"/>
      <c r="G84" s="37" t="s">
        <v>147</v>
      </c>
      <c r="H84" s="37" t="s">
        <v>58</v>
      </c>
      <c r="I84" s="37" t="s">
        <v>148</v>
      </c>
      <c r="J84" s="37" t="s">
        <v>149</v>
      </c>
      <c r="K84" s="37" t="s">
        <v>58</v>
      </c>
      <c r="L84" s="37" t="s">
        <v>122</v>
      </c>
      <c r="M84" s="37" t="s">
        <v>136</v>
      </c>
      <c r="N84" s="37" t="s">
        <v>58</v>
      </c>
      <c r="O84" s="37" t="s">
        <v>122</v>
      </c>
      <c r="P84" s="37"/>
      <c r="Q84" s="37"/>
      <c r="R84" s="37"/>
      <c r="S84" s="37"/>
      <c r="T84" s="37"/>
      <c r="U84" s="37" t="s">
        <v>128</v>
      </c>
      <c r="V84" s="37" t="s">
        <v>58</v>
      </c>
      <c r="W84" s="37" t="s">
        <v>122</v>
      </c>
      <c r="X84" s="37"/>
      <c r="Y84" s="37"/>
      <c r="Z84" s="37"/>
      <c r="AA84" s="37">
        <v>0.2</v>
      </c>
    </row>
    <row r="85" spans="1:27" x14ac:dyDescent="0.25">
      <c r="A85" s="37" t="s">
        <v>345</v>
      </c>
      <c r="B85" s="37" t="s">
        <v>130</v>
      </c>
      <c r="C85" s="37" t="s">
        <v>394</v>
      </c>
      <c r="D85" s="37" t="s">
        <v>132</v>
      </c>
      <c r="E85" s="37" t="s">
        <v>58</v>
      </c>
      <c r="F85" s="37"/>
      <c r="G85" s="37" t="s">
        <v>119</v>
      </c>
      <c r="H85" s="37" t="s">
        <v>58</v>
      </c>
      <c r="I85" s="37" t="s">
        <v>395</v>
      </c>
      <c r="J85" s="37" t="s">
        <v>121</v>
      </c>
      <c r="K85" s="37" t="s">
        <v>318</v>
      </c>
      <c r="L85" s="37" t="s">
        <v>122</v>
      </c>
      <c r="M85" s="37" t="s">
        <v>136</v>
      </c>
      <c r="N85" s="37" t="s">
        <v>78</v>
      </c>
      <c r="O85" s="37" t="s">
        <v>122</v>
      </c>
      <c r="P85" s="37"/>
      <c r="Q85" s="37"/>
      <c r="R85" s="37"/>
      <c r="S85" s="37"/>
      <c r="T85" s="37"/>
      <c r="U85" s="37" t="s">
        <v>128</v>
      </c>
      <c r="V85" s="37" t="s">
        <v>78</v>
      </c>
      <c r="W85" s="37" t="s">
        <v>122</v>
      </c>
      <c r="X85" s="37" t="s">
        <v>136</v>
      </c>
      <c r="Y85" s="37" t="s">
        <v>78</v>
      </c>
      <c r="Z85" s="37"/>
      <c r="AA85" s="37">
        <v>0.2</v>
      </c>
    </row>
    <row r="86" spans="1:27" x14ac:dyDescent="0.25">
      <c r="A86" s="37" t="s">
        <v>396</v>
      </c>
      <c r="B86" s="37" t="s">
        <v>167</v>
      </c>
      <c r="C86" s="37" t="s">
        <v>397</v>
      </c>
      <c r="D86" s="37" t="s">
        <v>169</v>
      </c>
      <c r="E86" s="37" t="s">
        <v>58</v>
      </c>
      <c r="F86" s="37"/>
      <c r="G86" s="37" t="s">
        <v>119</v>
      </c>
      <c r="H86" s="37" t="s">
        <v>58</v>
      </c>
      <c r="I86" s="37" t="s">
        <v>398</v>
      </c>
      <c r="J86" s="37" t="s">
        <v>135</v>
      </c>
      <c r="K86" s="37" t="s">
        <v>58</v>
      </c>
      <c r="L86" s="37" t="s">
        <v>122</v>
      </c>
      <c r="M86" s="37" t="s">
        <v>136</v>
      </c>
      <c r="N86" s="37" t="s">
        <v>58</v>
      </c>
      <c r="O86" s="37" t="s">
        <v>122</v>
      </c>
      <c r="P86" s="37" t="s">
        <v>218</v>
      </c>
      <c r="Q86" s="37" t="s">
        <v>174</v>
      </c>
      <c r="R86" s="37" t="s">
        <v>166</v>
      </c>
      <c r="S86" s="37" t="s">
        <v>127</v>
      </c>
      <c r="T86" s="37" t="s">
        <v>175</v>
      </c>
      <c r="U86" s="37" t="s">
        <v>128</v>
      </c>
      <c r="V86" s="37" t="s">
        <v>58</v>
      </c>
      <c r="W86" s="37" t="s">
        <v>122</v>
      </c>
      <c r="X86" s="37"/>
      <c r="Y86" s="37"/>
      <c r="Z86" s="37"/>
      <c r="AA86" s="37">
        <v>0.2</v>
      </c>
    </row>
    <row r="87" spans="1:27" x14ac:dyDescent="0.25">
      <c r="A87" s="37" t="s">
        <v>45</v>
      </c>
      <c r="B87" s="37" t="s">
        <v>259</v>
      </c>
      <c r="C87" s="37" t="s">
        <v>399</v>
      </c>
      <c r="D87" s="37" t="s">
        <v>292</v>
      </c>
      <c r="E87" s="37" t="s">
        <v>58</v>
      </c>
      <c r="F87" s="37"/>
      <c r="G87" s="37" t="s">
        <v>119</v>
      </c>
      <c r="H87" s="37" t="s">
        <v>58</v>
      </c>
      <c r="I87" s="37" t="s">
        <v>400</v>
      </c>
      <c r="J87" s="37" t="s">
        <v>121</v>
      </c>
      <c r="K87" s="37" t="s">
        <v>161</v>
      </c>
      <c r="L87" s="37" t="s">
        <v>122</v>
      </c>
      <c r="M87" s="37" t="s">
        <v>123</v>
      </c>
      <c r="N87" s="37" t="s">
        <v>341</v>
      </c>
      <c r="O87" s="37" t="s">
        <v>122</v>
      </c>
      <c r="P87" s="37"/>
      <c r="Q87" s="37"/>
      <c r="R87" s="37"/>
      <c r="S87" s="37"/>
      <c r="T87" s="37"/>
      <c r="U87" s="37" t="s">
        <v>128</v>
      </c>
      <c r="V87" s="37" t="s">
        <v>341</v>
      </c>
      <c r="W87" s="37" t="s">
        <v>122</v>
      </c>
      <c r="X87" s="37"/>
      <c r="Y87" s="37"/>
      <c r="Z87" s="37"/>
      <c r="AA87" s="37">
        <v>0.2</v>
      </c>
    </row>
    <row r="88" spans="1:27" x14ac:dyDescent="0.25">
      <c r="A88" s="37" t="s">
        <v>396</v>
      </c>
      <c r="B88" s="37" t="s">
        <v>209</v>
      </c>
      <c r="C88" s="37" t="s">
        <v>401</v>
      </c>
      <c r="D88" s="37" t="s">
        <v>121</v>
      </c>
      <c r="E88" s="37" t="s">
        <v>58</v>
      </c>
      <c r="F88" s="37"/>
      <c r="G88" s="37" t="s">
        <v>350</v>
      </c>
      <c r="H88" s="37" t="s">
        <v>58</v>
      </c>
      <c r="I88" s="37" t="s">
        <v>402</v>
      </c>
      <c r="J88" s="37" t="s">
        <v>149</v>
      </c>
      <c r="K88" s="37" t="s">
        <v>58</v>
      </c>
      <c r="L88" s="37" t="s">
        <v>122</v>
      </c>
      <c r="M88" s="37" t="s">
        <v>136</v>
      </c>
      <c r="N88" s="37" t="s">
        <v>58</v>
      </c>
      <c r="O88" s="37" t="s">
        <v>122</v>
      </c>
      <c r="P88" s="37"/>
      <c r="Q88" s="37"/>
      <c r="R88" s="37"/>
      <c r="S88" s="37"/>
      <c r="T88" s="37"/>
      <c r="U88" s="37" t="s">
        <v>128</v>
      </c>
      <c r="V88" s="37" t="s">
        <v>58</v>
      </c>
      <c r="W88" s="37" t="s">
        <v>122</v>
      </c>
      <c r="X88" s="37" t="s">
        <v>136</v>
      </c>
      <c r="Y88" s="37" t="s">
        <v>58</v>
      </c>
      <c r="Z88" s="37"/>
      <c r="AA88" s="37">
        <v>0.2</v>
      </c>
    </row>
    <row r="89" spans="1:27" x14ac:dyDescent="0.25">
      <c r="A89" s="37" t="s">
        <v>396</v>
      </c>
      <c r="B89" s="37" t="s">
        <v>251</v>
      </c>
      <c r="C89" s="37" t="s">
        <v>403</v>
      </c>
      <c r="D89" s="37" t="s">
        <v>117</v>
      </c>
      <c r="E89" s="37" t="s">
        <v>58</v>
      </c>
      <c r="F89" s="37"/>
      <c r="G89" s="37" t="s">
        <v>119</v>
      </c>
      <c r="H89" s="37" t="s">
        <v>137</v>
      </c>
      <c r="I89" s="37" t="s">
        <v>404</v>
      </c>
      <c r="J89" s="37" t="s">
        <v>121</v>
      </c>
      <c r="K89" s="37" t="s">
        <v>161</v>
      </c>
      <c r="L89" s="37" t="s">
        <v>122</v>
      </c>
      <c r="M89" s="37" t="s">
        <v>123</v>
      </c>
      <c r="N89" s="37" t="s">
        <v>161</v>
      </c>
      <c r="O89" s="37" t="s">
        <v>122</v>
      </c>
      <c r="P89" s="37" t="s">
        <v>405</v>
      </c>
      <c r="Q89" s="37" t="s">
        <v>165</v>
      </c>
      <c r="R89" s="37" t="s">
        <v>219</v>
      </c>
      <c r="S89" s="37" t="s">
        <v>127</v>
      </c>
      <c r="T89" s="37" t="s">
        <v>175</v>
      </c>
      <c r="U89" s="37" t="s">
        <v>128</v>
      </c>
      <c r="V89" s="37" t="s">
        <v>161</v>
      </c>
      <c r="W89" s="37" t="s">
        <v>122</v>
      </c>
      <c r="X89" s="37"/>
      <c r="Y89" s="37"/>
      <c r="Z89" s="37"/>
      <c r="AA89" s="37">
        <v>0.2</v>
      </c>
    </row>
    <row r="90" spans="1:27" x14ac:dyDescent="0.25">
      <c r="A90" s="37" t="s">
        <v>396</v>
      </c>
      <c r="B90" s="37" t="s">
        <v>248</v>
      </c>
      <c r="C90" s="37" t="s">
        <v>406</v>
      </c>
      <c r="D90" s="37" t="s">
        <v>117</v>
      </c>
      <c r="E90" s="37" t="s">
        <v>58</v>
      </c>
      <c r="F90" s="37"/>
      <c r="G90" s="37" t="s">
        <v>119</v>
      </c>
      <c r="H90" s="37" t="s">
        <v>61</v>
      </c>
      <c r="I90" s="37" t="s">
        <v>407</v>
      </c>
      <c r="J90" s="37" t="s">
        <v>121</v>
      </c>
      <c r="K90" s="37" t="s">
        <v>61</v>
      </c>
      <c r="L90" s="37" t="s">
        <v>122</v>
      </c>
      <c r="M90" s="37" t="s">
        <v>123</v>
      </c>
      <c r="N90" s="37" t="s">
        <v>61</v>
      </c>
      <c r="O90" s="37" t="s">
        <v>122</v>
      </c>
      <c r="P90" s="37" t="s">
        <v>124</v>
      </c>
      <c r="Q90" s="37" t="s">
        <v>165</v>
      </c>
      <c r="R90" s="37" t="s">
        <v>166</v>
      </c>
      <c r="S90" s="37" t="s">
        <v>175</v>
      </c>
      <c r="T90" s="37" t="s">
        <v>127</v>
      </c>
      <c r="U90" s="37" t="s">
        <v>128</v>
      </c>
      <c r="V90" s="37" t="s">
        <v>61</v>
      </c>
      <c r="W90" s="37" t="s">
        <v>122</v>
      </c>
      <c r="X90" s="37"/>
      <c r="Y90" s="37"/>
      <c r="Z90" s="37"/>
      <c r="AA90" s="37">
        <v>0.2</v>
      </c>
    </row>
    <row r="91" spans="1:27" x14ac:dyDescent="0.25">
      <c r="A91" s="37" t="s">
        <v>396</v>
      </c>
      <c r="B91" s="37" t="s">
        <v>162</v>
      </c>
      <c r="C91" s="37" t="s">
        <v>408</v>
      </c>
      <c r="D91" s="37" t="s">
        <v>117</v>
      </c>
      <c r="E91" s="37" t="s">
        <v>58</v>
      </c>
      <c r="F91" s="37"/>
      <c r="G91" s="37" t="s">
        <v>119</v>
      </c>
      <c r="H91" s="37" t="s">
        <v>61</v>
      </c>
      <c r="I91" s="37" t="s">
        <v>409</v>
      </c>
      <c r="J91" s="37" t="s">
        <v>121</v>
      </c>
      <c r="K91" s="37" t="s">
        <v>61</v>
      </c>
      <c r="L91" s="37" t="s">
        <v>122</v>
      </c>
      <c r="M91" s="37" t="s">
        <v>123</v>
      </c>
      <c r="N91" s="37" t="s">
        <v>61</v>
      </c>
      <c r="O91" s="37" t="s">
        <v>122</v>
      </c>
      <c r="P91" s="37" t="s">
        <v>124</v>
      </c>
      <c r="Q91" s="37" t="s">
        <v>165</v>
      </c>
      <c r="R91" s="37" t="s">
        <v>166</v>
      </c>
      <c r="S91" s="37" t="s">
        <v>127</v>
      </c>
      <c r="T91" s="37" t="s">
        <v>127</v>
      </c>
      <c r="U91" s="37" t="s">
        <v>128</v>
      </c>
      <c r="V91" s="37" t="s">
        <v>61</v>
      </c>
      <c r="W91" s="37" t="s">
        <v>122</v>
      </c>
      <c r="X91" s="37"/>
      <c r="Y91" s="37"/>
      <c r="Z91" s="37"/>
      <c r="AA91" s="37">
        <v>0.2</v>
      </c>
    </row>
    <row r="92" spans="1:27" x14ac:dyDescent="0.25">
      <c r="A92" s="37" t="s">
        <v>410</v>
      </c>
      <c r="B92" s="37" t="s">
        <v>130</v>
      </c>
      <c r="C92" s="37" t="s">
        <v>411</v>
      </c>
      <c r="D92" s="37" t="s">
        <v>132</v>
      </c>
      <c r="E92" s="37" t="s">
        <v>58</v>
      </c>
      <c r="F92" s="37"/>
      <c r="G92" s="37" t="s">
        <v>119</v>
      </c>
      <c r="H92" s="37" t="s">
        <v>318</v>
      </c>
      <c r="I92" s="37" t="s">
        <v>412</v>
      </c>
      <c r="J92" s="37" t="s">
        <v>121</v>
      </c>
      <c r="K92" s="37" t="s">
        <v>318</v>
      </c>
      <c r="L92" s="37" t="s">
        <v>122</v>
      </c>
      <c r="M92" s="37" t="s">
        <v>136</v>
      </c>
      <c r="N92" s="37" t="s">
        <v>78</v>
      </c>
      <c r="O92" s="37" t="s">
        <v>122</v>
      </c>
      <c r="P92" s="37"/>
      <c r="Q92" s="37"/>
      <c r="R92" s="37"/>
      <c r="S92" s="37"/>
      <c r="T92" s="37"/>
      <c r="U92" s="37" t="s">
        <v>128</v>
      </c>
      <c r="V92" s="37" t="s">
        <v>78</v>
      </c>
      <c r="W92" s="37" t="s">
        <v>122</v>
      </c>
      <c r="X92" s="37"/>
      <c r="Y92" s="37"/>
      <c r="Z92" s="37"/>
      <c r="AA92" s="37">
        <v>0.2</v>
      </c>
    </row>
    <row r="93" spans="1:27" x14ac:dyDescent="0.25">
      <c r="A93" s="37" t="s">
        <v>396</v>
      </c>
      <c r="B93" s="37" t="s">
        <v>242</v>
      </c>
      <c r="C93" s="37" t="s">
        <v>413</v>
      </c>
      <c r="D93" s="37" t="s">
        <v>328</v>
      </c>
      <c r="E93" s="37" t="s">
        <v>58</v>
      </c>
      <c r="F93" s="37"/>
      <c r="G93" s="37" t="s">
        <v>119</v>
      </c>
      <c r="H93" s="37" t="s">
        <v>159</v>
      </c>
      <c r="I93" s="37" t="s">
        <v>414</v>
      </c>
      <c r="J93" s="37" t="s">
        <v>121</v>
      </c>
      <c r="K93" s="37" t="s">
        <v>159</v>
      </c>
      <c r="L93" s="37" t="s">
        <v>122</v>
      </c>
      <c r="M93" s="37" t="s">
        <v>136</v>
      </c>
      <c r="N93" s="37" t="s">
        <v>297</v>
      </c>
      <c r="O93" s="37" t="s">
        <v>122</v>
      </c>
      <c r="P93" s="37"/>
      <c r="Q93" s="37"/>
      <c r="R93" s="37"/>
      <c r="S93" s="37"/>
      <c r="T93" s="37"/>
      <c r="U93" s="37" t="s">
        <v>128</v>
      </c>
      <c r="V93" s="37" t="s">
        <v>297</v>
      </c>
      <c r="W93" s="37" t="s">
        <v>122</v>
      </c>
      <c r="X93" s="37"/>
      <c r="Y93" s="37"/>
      <c r="Z93" s="37"/>
      <c r="AA93" s="37">
        <v>0.2</v>
      </c>
    </row>
    <row r="94" spans="1:27" x14ac:dyDescent="0.25">
      <c r="A94" s="37" t="s">
        <v>415</v>
      </c>
      <c r="B94" s="37" t="s">
        <v>209</v>
      </c>
      <c r="C94" s="37" t="s">
        <v>416</v>
      </c>
      <c r="D94" s="37" t="s">
        <v>121</v>
      </c>
      <c r="E94" s="37" t="s">
        <v>58</v>
      </c>
      <c r="F94" s="37"/>
      <c r="G94" s="37" t="s">
        <v>350</v>
      </c>
      <c r="H94" s="37" t="s">
        <v>58</v>
      </c>
      <c r="I94" s="37" t="s">
        <v>402</v>
      </c>
      <c r="J94" s="37" t="s">
        <v>149</v>
      </c>
      <c r="K94" s="37" t="s">
        <v>58</v>
      </c>
      <c r="L94" s="37" t="s">
        <v>122</v>
      </c>
      <c r="M94" s="37" t="s">
        <v>136</v>
      </c>
      <c r="N94" s="37" t="s">
        <v>58</v>
      </c>
      <c r="O94" s="37" t="s">
        <v>122</v>
      </c>
      <c r="P94" s="37"/>
      <c r="Q94" s="37"/>
      <c r="R94" s="37"/>
      <c r="S94" s="37"/>
      <c r="T94" s="37"/>
      <c r="U94" s="37" t="s">
        <v>128</v>
      </c>
      <c r="V94" s="37" t="s">
        <v>58</v>
      </c>
      <c r="W94" s="37" t="s">
        <v>122</v>
      </c>
      <c r="X94" s="37" t="s">
        <v>136</v>
      </c>
      <c r="Y94" s="37" t="s">
        <v>58</v>
      </c>
      <c r="Z94" s="37"/>
      <c r="AA94" s="37">
        <v>0.2</v>
      </c>
    </row>
    <row r="95" spans="1:27" x14ac:dyDescent="0.25">
      <c r="A95" s="37" t="s">
        <v>415</v>
      </c>
      <c r="B95" s="37" t="s">
        <v>167</v>
      </c>
      <c r="C95" s="37" t="s">
        <v>417</v>
      </c>
      <c r="D95" s="37" t="s">
        <v>214</v>
      </c>
      <c r="E95" s="37" t="s">
        <v>58</v>
      </c>
      <c r="F95" s="37"/>
      <c r="G95" s="37" t="s">
        <v>119</v>
      </c>
      <c r="H95" s="37" t="s">
        <v>58</v>
      </c>
      <c r="I95" s="37" t="s">
        <v>418</v>
      </c>
      <c r="J95" s="37" t="s">
        <v>135</v>
      </c>
      <c r="K95" s="37" t="s">
        <v>61</v>
      </c>
      <c r="L95" s="37" t="s">
        <v>122</v>
      </c>
      <c r="M95" s="37" t="s">
        <v>136</v>
      </c>
      <c r="N95" s="37" t="s">
        <v>137</v>
      </c>
      <c r="O95" s="37" t="s">
        <v>122</v>
      </c>
      <c r="P95" s="37" t="s">
        <v>218</v>
      </c>
      <c r="Q95" s="37" t="s">
        <v>174</v>
      </c>
      <c r="R95" s="37" t="s">
        <v>219</v>
      </c>
      <c r="S95" s="37" t="s">
        <v>127</v>
      </c>
      <c r="T95" s="37" t="s">
        <v>127</v>
      </c>
      <c r="U95" s="37" t="s">
        <v>128</v>
      </c>
      <c r="V95" s="37" t="s">
        <v>137</v>
      </c>
      <c r="W95" s="37" t="s">
        <v>122</v>
      </c>
      <c r="X95" s="37"/>
      <c r="Y95" s="37"/>
      <c r="Z95" s="37"/>
      <c r="AA95" s="37">
        <v>0.2</v>
      </c>
    </row>
    <row r="96" spans="1:27" x14ac:dyDescent="0.25">
      <c r="A96" s="37" t="s">
        <v>419</v>
      </c>
      <c r="B96" s="37" t="s">
        <v>209</v>
      </c>
      <c r="C96" s="37" t="s">
        <v>420</v>
      </c>
      <c r="D96" s="37" t="s">
        <v>121</v>
      </c>
      <c r="E96" s="37" t="s">
        <v>58</v>
      </c>
      <c r="F96" s="37"/>
      <c r="G96" s="37" t="s">
        <v>350</v>
      </c>
      <c r="H96" s="37" t="s">
        <v>58</v>
      </c>
      <c r="I96" s="37" t="s">
        <v>421</v>
      </c>
      <c r="J96" s="37" t="s">
        <v>149</v>
      </c>
      <c r="K96" s="37" t="s">
        <v>58</v>
      </c>
      <c r="L96" s="37" t="s">
        <v>122</v>
      </c>
      <c r="M96" s="37" t="s">
        <v>136</v>
      </c>
      <c r="N96" s="37" t="s">
        <v>58</v>
      </c>
      <c r="O96" s="37" t="s">
        <v>122</v>
      </c>
      <c r="P96" s="37"/>
      <c r="Q96" s="37"/>
      <c r="R96" s="37"/>
      <c r="S96" s="37"/>
      <c r="T96" s="37"/>
      <c r="U96" s="37" t="s">
        <v>128</v>
      </c>
      <c r="V96" s="37" t="s">
        <v>58</v>
      </c>
      <c r="W96" s="37" t="s">
        <v>122</v>
      </c>
      <c r="X96" s="37" t="s">
        <v>136</v>
      </c>
      <c r="Y96" s="37" t="s">
        <v>58</v>
      </c>
      <c r="Z96" s="37"/>
      <c r="AA96" s="37">
        <v>0.2</v>
      </c>
    </row>
    <row r="97" spans="1:27" x14ac:dyDescent="0.25">
      <c r="A97" s="37" t="s">
        <v>396</v>
      </c>
      <c r="B97" s="37" t="s">
        <v>422</v>
      </c>
      <c r="C97" s="37" t="s">
        <v>423</v>
      </c>
      <c r="D97" s="37" t="s">
        <v>328</v>
      </c>
      <c r="E97" s="37" t="s">
        <v>58</v>
      </c>
      <c r="F97" s="37"/>
      <c r="G97" s="37" t="s">
        <v>119</v>
      </c>
      <c r="H97" s="37" t="s">
        <v>159</v>
      </c>
      <c r="I97" s="37" t="s">
        <v>424</v>
      </c>
      <c r="J97" s="37" t="s">
        <v>121</v>
      </c>
      <c r="K97" s="37" t="s">
        <v>159</v>
      </c>
      <c r="L97" s="37" t="s">
        <v>122</v>
      </c>
      <c r="M97" s="37" t="s">
        <v>136</v>
      </c>
      <c r="N97" s="37" t="s">
        <v>297</v>
      </c>
      <c r="O97" s="37" t="s">
        <v>122</v>
      </c>
      <c r="P97" s="37" t="s">
        <v>425</v>
      </c>
      <c r="Q97" s="37" t="s">
        <v>426</v>
      </c>
      <c r="R97" s="37" t="s">
        <v>427</v>
      </c>
      <c r="S97" s="37" t="s">
        <v>127</v>
      </c>
      <c r="T97" s="37" t="s">
        <v>175</v>
      </c>
      <c r="U97" s="37" t="s">
        <v>128</v>
      </c>
      <c r="V97" s="37" t="s">
        <v>297</v>
      </c>
      <c r="W97" s="37" t="s">
        <v>122</v>
      </c>
      <c r="X97" s="37"/>
      <c r="Y97" s="37"/>
      <c r="Z97" s="37"/>
      <c r="AA97" s="37">
        <v>0.2</v>
      </c>
    </row>
    <row r="98" spans="1:27" x14ac:dyDescent="0.25">
      <c r="A98" s="37" t="s">
        <v>396</v>
      </c>
      <c r="B98" s="37" t="s">
        <v>115</v>
      </c>
      <c r="C98" s="37" t="s">
        <v>428</v>
      </c>
      <c r="D98" s="37" t="s">
        <v>121</v>
      </c>
      <c r="E98" s="37" t="s">
        <v>58</v>
      </c>
      <c r="F98" s="37"/>
      <c r="G98" s="37" t="s">
        <v>350</v>
      </c>
      <c r="H98" s="37" t="s">
        <v>58</v>
      </c>
      <c r="I98" s="37" t="s">
        <v>429</v>
      </c>
      <c r="J98" s="37" t="s">
        <v>149</v>
      </c>
      <c r="K98" s="37" t="s">
        <v>58</v>
      </c>
      <c r="L98" s="37" t="s">
        <v>122</v>
      </c>
      <c r="M98" s="37" t="s">
        <v>136</v>
      </c>
      <c r="N98" s="37" t="s">
        <v>58</v>
      </c>
      <c r="O98" s="37" t="s">
        <v>122</v>
      </c>
      <c r="P98" s="37" t="s">
        <v>352</v>
      </c>
      <c r="Q98" s="37" t="s">
        <v>353</v>
      </c>
      <c r="R98" s="37" t="s">
        <v>61</v>
      </c>
      <c r="S98" s="37" t="s">
        <v>127</v>
      </c>
      <c r="T98" s="37" t="s">
        <v>127</v>
      </c>
      <c r="U98" s="37" t="s">
        <v>128</v>
      </c>
      <c r="V98" s="37" t="s">
        <v>58</v>
      </c>
      <c r="W98" s="37" t="s">
        <v>122</v>
      </c>
      <c r="X98" s="37" t="s">
        <v>136</v>
      </c>
      <c r="Y98" s="37" t="s">
        <v>58</v>
      </c>
      <c r="Z98" s="37"/>
      <c r="AA98" s="37">
        <v>0.2</v>
      </c>
    </row>
    <row r="99" spans="1:27" x14ac:dyDescent="0.25">
      <c r="A99" s="37" t="s">
        <v>415</v>
      </c>
      <c r="B99" s="37" t="s">
        <v>130</v>
      </c>
      <c r="C99" s="37" t="s">
        <v>430</v>
      </c>
      <c r="D99" s="37" t="s">
        <v>146</v>
      </c>
      <c r="E99" s="37" t="s">
        <v>58</v>
      </c>
      <c r="F99" s="37"/>
      <c r="G99" s="37" t="s">
        <v>147</v>
      </c>
      <c r="H99" s="37" t="s">
        <v>58</v>
      </c>
      <c r="I99" s="37" t="s">
        <v>148</v>
      </c>
      <c r="J99" s="37" t="s">
        <v>149</v>
      </c>
      <c r="K99" s="37" t="s">
        <v>58</v>
      </c>
      <c r="L99" s="37" t="s">
        <v>122</v>
      </c>
      <c r="M99" s="37" t="s">
        <v>136</v>
      </c>
      <c r="N99" s="37" t="s">
        <v>58</v>
      </c>
      <c r="O99" s="37" t="s">
        <v>122</v>
      </c>
      <c r="P99" s="37"/>
      <c r="Q99" s="37"/>
      <c r="R99" s="37"/>
      <c r="S99" s="37"/>
      <c r="T99" s="37"/>
      <c r="U99" s="37" t="s">
        <v>128</v>
      </c>
      <c r="V99" s="37" t="s">
        <v>58</v>
      </c>
      <c r="W99" s="37" t="s">
        <v>122</v>
      </c>
      <c r="X99" s="37"/>
      <c r="Y99" s="37"/>
      <c r="Z99" s="37"/>
      <c r="AA99" s="37">
        <v>0.2</v>
      </c>
    </row>
    <row r="100" spans="1:27" x14ac:dyDescent="0.25">
      <c r="A100" s="37" t="s">
        <v>431</v>
      </c>
      <c r="B100" s="37" t="s">
        <v>115</v>
      </c>
      <c r="C100" s="37" t="s">
        <v>432</v>
      </c>
      <c r="D100" s="37" t="s">
        <v>121</v>
      </c>
      <c r="E100" s="37" t="s">
        <v>58</v>
      </c>
      <c r="F100" s="37"/>
      <c r="G100" s="37" t="s">
        <v>350</v>
      </c>
      <c r="H100" s="37" t="s">
        <v>58</v>
      </c>
      <c r="I100" s="37" t="s">
        <v>433</v>
      </c>
      <c r="J100" s="37" t="s">
        <v>149</v>
      </c>
      <c r="K100" s="37" t="s">
        <v>58</v>
      </c>
      <c r="L100" s="37" t="s">
        <v>122</v>
      </c>
      <c r="M100" s="37" t="s">
        <v>136</v>
      </c>
      <c r="N100" s="37" t="s">
        <v>58</v>
      </c>
      <c r="O100" s="37" t="s">
        <v>122</v>
      </c>
      <c r="P100" s="37" t="s">
        <v>352</v>
      </c>
      <c r="Q100" s="37" t="s">
        <v>353</v>
      </c>
      <c r="R100" s="37" t="s">
        <v>61</v>
      </c>
      <c r="S100" s="37" t="s">
        <v>127</v>
      </c>
      <c r="T100" s="37" t="s">
        <v>127</v>
      </c>
      <c r="U100" s="37" t="s">
        <v>128</v>
      </c>
      <c r="V100" s="37" t="s">
        <v>58</v>
      </c>
      <c r="W100" s="37" t="s">
        <v>122</v>
      </c>
      <c r="X100" s="37" t="s">
        <v>136</v>
      </c>
      <c r="Y100" s="37" t="s">
        <v>58</v>
      </c>
      <c r="Z100" s="37"/>
      <c r="AA100" s="37">
        <v>0.2</v>
      </c>
    </row>
    <row r="101" spans="1:27" x14ac:dyDescent="0.25">
      <c r="A101" s="37" t="s">
        <v>396</v>
      </c>
      <c r="B101" s="37" t="s">
        <v>205</v>
      </c>
      <c r="C101" s="37" t="s">
        <v>434</v>
      </c>
      <c r="D101" s="37" t="s">
        <v>435</v>
      </c>
      <c r="E101" s="37" t="s">
        <v>58</v>
      </c>
      <c r="F101" s="37"/>
      <c r="G101" s="37" t="s">
        <v>119</v>
      </c>
      <c r="H101" s="37" t="s">
        <v>68</v>
      </c>
      <c r="I101" s="37" t="s">
        <v>400</v>
      </c>
      <c r="J101" s="37" t="s">
        <v>135</v>
      </c>
      <c r="K101" s="37" t="s">
        <v>68</v>
      </c>
      <c r="L101" s="37" t="s">
        <v>122</v>
      </c>
      <c r="M101" s="37" t="s">
        <v>136</v>
      </c>
      <c r="N101" s="37" t="s">
        <v>137</v>
      </c>
      <c r="O101" s="37" t="s">
        <v>122</v>
      </c>
      <c r="P101" s="37"/>
      <c r="Q101" s="37"/>
      <c r="R101" s="37"/>
      <c r="S101" s="37"/>
      <c r="T101" s="37"/>
      <c r="U101" s="37" t="s">
        <v>128</v>
      </c>
      <c r="V101" s="37" t="s">
        <v>137</v>
      </c>
      <c r="W101" s="37" t="s">
        <v>122</v>
      </c>
      <c r="X101" s="37"/>
      <c r="Y101" s="37"/>
      <c r="Z101" s="37"/>
      <c r="AA101" s="37">
        <v>0.2</v>
      </c>
    </row>
    <row r="102" spans="1:27" x14ac:dyDescent="0.25">
      <c r="A102" s="37" t="s">
        <v>396</v>
      </c>
      <c r="B102" s="37" t="s">
        <v>362</v>
      </c>
      <c r="C102" s="37" t="s">
        <v>436</v>
      </c>
      <c r="D102" s="37" t="s">
        <v>123</v>
      </c>
      <c r="E102" s="37" t="s">
        <v>58</v>
      </c>
      <c r="F102" s="37" t="s">
        <v>437</v>
      </c>
      <c r="G102" s="37" t="s">
        <v>365</v>
      </c>
      <c r="H102" s="37" t="s">
        <v>61</v>
      </c>
      <c r="I102" s="37" t="s">
        <v>438</v>
      </c>
      <c r="J102" s="37" t="s">
        <v>149</v>
      </c>
      <c r="K102" s="37" t="s">
        <v>297</v>
      </c>
      <c r="L102" s="37" t="s">
        <v>122</v>
      </c>
      <c r="M102" s="37" t="s">
        <v>136</v>
      </c>
      <c r="N102" s="37" t="s">
        <v>297</v>
      </c>
      <c r="O102" s="37" t="s">
        <v>122</v>
      </c>
      <c r="P102" s="37" t="s">
        <v>439</v>
      </c>
      <c r="Q102" s="37" t="s">
        <v>440</v>
      </c>
      <c r="R102" s="37" t="s">
        <v>441</v>
      </c>
      <c r="S102" s="37" t="s">
        <v>127</v>
      </c>
      <c r="T102" s="37" t="s">
        <v>127</v>
      </c>
      <c r="U102" s="37" t="s">
        <v>128</v>
      </c>
      <c r="V102" s="37" t="s">
        <v>297</v>
      </c>
      <c r="W102" s="37" t="s">
        <v>122</v>
      </c>
      <c r="X102" s="37" t="s">
        <v>123</v>
      </c>
      <c r="Y102" s="37" t="s">
        <v>84</v>
      </c>
      <c r="Z102" s="37" t="s">
        <v>442</v>
      </c>
      <c r="AA102" s="37">
        <v>0.2</v>
      </c>
    </row>
    <row r="103" spans="1:27" x14ac:dyDescent="0.25">
      <c r="A103" s="37" t="s">
        <v>419</v>
      </c>
      <c r="B103" s="37" t="s">
        <v>167</v>
      </c>
      <c r="C103" s="37" t="s">
        <v>443</v>
      </c>
      <c r="D103" s="37" t="s">
        <v>169</v>
      </c>
      <c r="E103" s="37" t="s">
        <v>58</v>
      </c>
      <c r="F103" s="37" t="s">
        <v>444</v>
      </c>
      <c r="G103" s="37" t="s">
        <v>119</v>
      </c>
      <c r="H103" s="37" t="s">
        <v>58</v>
      </c>
      <c r="I103" s="37" t="s">
        <v>445</v>
      </c>
      <c r="J103" s="37" t="s">
        <v>135</v>
      </c>
      <c r="K103" s="37" t="s">
        <v>58</v>
      </c>
      <c r="L103" s="37" t="s">
        <v>122</v>
      </c>
      <c r="M103" s="37" t="s">
        <v>136</v>
      </c>
      <c r="N103" s="37" t="s">
        <v>58</v>
      </c>
      <c r="O103" s="37" t="s">
        <v>122</v>
      </c>
      <c r="P103" s="37" t="s">
        <v>173</v>
      </c>
      <c r="Q103" s="37" t="s">
        <v>174</v>
      </c>
      <c r="R103" s="37" t="s">
        <v>166</v>
      </c>
      <c r="S103" s="37" t="s">
        <v>127</v>
      </c>
      <c r="T103" s="37" t="s">
        <v>175</v>
      </c>
      <c r="U103" s="37" t="s">
        <v>128</v>
      </c>
      <c r="V103" s="37" t="s">
        <v>58</v>
      </c>
      <c r="W103" s="37" t="s">
        <v>122</v>
      </c>
      <c r="X103" s="37"/>
      <c r="Y103" s="37"/>
      <c r="Z103" s="37"/>
      <c r="AA103" s="37">
        <v>0.2</v>
      </c>
    </row>
    <row r="104" spans="1:27" x14ac:dyDescent="0.25">
      <c r="A104" s="37" t="s">
        <v>419</v>
      </c>
      <c r="B104" s="37" t="s">
        <v>130</v>
      </c>
      <c r="C104" s="37" t="s">
        <v>446</v>
      </c>
      <c r="D104" s="37" t="s">
        <v>132</v>
      </c>
      <c r="E104" s="37" t="s">
        <v>58</v>
      </c>
      <c r="F104" s="37"/>
      <c r="G104" s="37" t="s">
        <v>119</v>
      </c>
      <c r="H104" s="37" t="s">
        <v>318</v>
      </c>
      <c r="I104" s="37" t="s">
        <v>447</v>
      </c>
      <c r="J104" s="37" t="s">
        <v>121</v>
      </c>
      <c r="K104" s="37" t="s">
        <v>318</v>
      </c>
      <c r="L104" s="37" t="s">
        <v>122</v>
      </c>
      <c r="M104" s="37" t="s">
        <v>136</v>
      </c>
      <c r="N104" s="37" t="s">
        <v>318</v>
      </c>
      <c r="O104" s="37" t="s">
        <v>122</v>
      </c>
      <c r="P104" s="37"/>
      <c r="Q104" s="37"/>
      <c r="R104" s="37"/>
      <c r="S104" s="37"/>
      <c r="T104" s="37"/>
      <c r="U104" s="37" t="s">
        <v>128</v>
      </c>
      <c r="V104" s="37" t="s">
        <v>318</v>
      </c>
      <c r="W104" s="37" t="s">
        <v>122</v>
      </c>
      <c r="X104" s="37"/>
      <c r="Y104" s="37"/>
      <c r="Z104" s="37"/>
      <c r="AA104" s="37">
        <v>0.2</v>
      </c>
    </row>
    <row r="105" spans="1:27" x14ac:dyDescent="0.25">
      <c r="A105" s="37" t="s">
        <v>396</v>
      </c>
      <c r="B105" s="37" t="s">
        <v>448</v>
      </c>
      <c r="C105" s="37" t="s">
        <v>449</v>
      </c>
      <c r="D105" s="37" t="s">
        <v>292</v>
      </c>
      <c r="E105" s="37" t="s">
        <v>58</v>
      </c>
      <c r="F105" s="37"/>
      <c r="G105" s="37" t="s">
        <v>119</v>
      </c>
      <c r="H105" s="37" t="s">
        <v>58</v>
      </c>
      <c r="I105" s="37" t="s">
        <v>450</v>
      </c>
      <c r="J105" s="37" t="s">
        <v>121</v>
      </c>
      <c r="K105" s="37" t="s">
        <v>187</v>
      </c>
      <c r="L105" s="37" t="s">
        <v>374</v>
      </c>
      <c r="M105" s="37" t="s">
        <v>123</v>
      </c>
      <c r="N105" s="37" t="s">
        <v>341</v>
      </c>
      <c r="O105" s="37" t="s">
        <v>122</v>
      </c>
      <c r="P105" s="37"/>
      <c r="Q105" s="37"/>
      <c r="R105" s="37"/>
      <c r="S105" s="37"/>
      <c r="T105" s="37"/>
      <c r="U105" s="37" t="s">
        <v>128</v>
      </c>
      <c r="V105" s="37" t="s">
        <v>341</v>
      </c>
      <c r="W105" s="37" t="s">
        <v>122</v>
      </c>
      <c r="X105" s="37"/>
      <c r="Y105" s="37"/>
      <c r="Z105" s="37"/>
      <c r="AA105" s="37">
        <v>0.2</v>
      </c>
    </row>
    <row r="106" spans="1:27" x14ac:dyDescent="0.25">
      <c r="A106" s="37" t="s">
        <v>396</v>
      </c>
      <c r="B106" s="37" t="s">
        <v>380</v>
      </c>
      <c r="C106" s="37" t="s">
        <v>451</v>
      </c>
      <c r="D106" s="37" t="s">
        <v>435</v>
      </c>
      <c r="E106" s="37" t="s">
        <v>58</v>
      </c>
      <c r="F106" s="37"/>
      <c r="G106" s="37" t="s">
        <v>119</v>
      </c>
      <c r="H106" s="37" t="s">
        <v>58</v>
      </c>
      <c r="I106" s="37" t="s">
        <v>452</v>
      </c>
      <c r="J106" s="37" t="s">
        <v>135</v>
      </c>
      <c r="K106" s="37" t="s">
        <v>58</v>
      </c>
      <c r="L106" s="37" t="s">
        <v>122</v>
      </c>
      <c r="M106" s="37" t="s">
        <v>136</v>
      </c>
      <c r="N106" s="37" t="s">
        <v>58</v>
      </c>
      <c r="O106" s="37" t="s">
        <v>122</v>
      </c>
      <c r="P106" s="37" t="s">
        <v>453</v>
      </c>
      <c r="Q106" s="37" t="s">
        <v>454</v>
      </c>
      <c r="R106" s="37" t="s">
        <v>166</v>
      </c>
      <c r="S106" s="37" t="s">
        <v>127</v>
      </c>
      <c r="T106" s="37" t="s">
        <v>127</v>
      </c>
      <c r="U106" s="37" t="s">
        <v>128</v>
      </c>
      <c r="V106" s="37" t="s">
        <v>58</v>
      </c>
      <c r="W106" s="37" t="s">
        <v>122</v>
      </c>
      <c r="X106" s="37"/>
      <c r="Y106" s="37"/>
      <c r="Z106" s="37"/>
      <c r="AA106" s="37">
        <v>0.2</v>
      </c>
    </row>
    <row r="107" spans="1:27" x14ac:dyDescent="0.25">
      <c r="A107" s="37" t="s">
        <v>396</v>
      </c>
      <c r="B107" s="37" t="s">
        <v>455</v>
      </c>
      <c r="C107" s="37" t="s">
        <v>456</v>
      </c>
      <c r="D107" s="37" t="s">
        <v>457</v>
      </c>
      <c r="E107" s="37" t="s">
        <v>58</v>
      </c>
      <c r="F107" s="37"/>
      <c r="G107" s="37" t="s">
        <v>119</v>
      </c>
      <c r="H107" s="37" t="s">
        <v>61</v>
      </c>
      <c r="I107" s="37" t="s">
        <v>458</v>
      </c>
      <c r="J107" s="37" t="s">
        <v>135</v>
      </c>
      <c r="K107" s="37" t="s">
        <v>61</v>
      </c>
      <c r="L107" s="37" t="s">
        <v>122</v>
      </c>
      <c r="M107" s="37" t="s">
        <v>136</v>
      </c>
      <c r="N107" s="37" t="s">
        <v>137</v>
      </c>
      <c r="O107" s="37" t="s">
        <v>122</v>
      </c>
      <c r="P107" s="37"/>
      <c r="Q107" s="37"/>
      <c r="R107" s="37"/>
      <c r="S107" s="37"/>
      <c r="T107" s="37"/>
      <c r="U107" s="37" t="s">
        <v>128</v>
      </c>
      <c r="V107" s="37" t="s">
        <v>137</v>
      </c>
      <c r="W107" s="37" t="s">
        <v>122</v>
      </c>
      <c r="X107" s="37"/>
      <c r="Y107" s="37"/>
      <c r="Z107" s="37"/>
      <c r="AA107" s="37">
        <v>0.2</v>
      </c>
    </row>
    <row r="108" spans="1:27" x14ac:dyDescent="0.25">
      <c r="A108" s="37" t="s">
        <v>54</v>
      </c>
      <c r="B108" s="37" t="s">
        <v>422</v>
      </c>
      <c r="C108" s="37" t="s">
        <v>459</v>
      </c>
      <c r="D108" s="37" t="s">
        <v>328</v>
      </c>
      <c r="E108" s="37" t="s">
        <v>61</v>
      </c>
      <c r="F108" s="37"/>
      <c r="G108" s="37" t="s">
        <v>119</v>
      </c>
      <c r="H108" s="37" t="s">
        <v>159</v>
      </c>
      <c r="I108" s="37" t="s">
        <v>460</v>
      </c>
      <c r="J108" s="37" t="s">
        <v>121</v>
      </c>
      <c r="K108" s="37" t="s">
        <v>159</v>
      </c>
      <c r="L108" s="37" t="s">
        <v>122</v>
      </c>
      <c r="M108" s="37" t="s">
        <v>136</v>
      </c>
      <c r="N108" s="37" t="s">
        <v>297</v>
      </c>
      <c r="O108" s="37" t="s">
        <v>122</v>
      </c>
      <c r="P108" s="37" t="s">
        <v>425</v>
      </c>
      <c r="Q108" s="37" t="s">
        <v>426</v>
      </c>
      <c r="R108" s="37" t="s">
        <v>427</v>
      </c>
      <c r="S108" s="37" t="s">
        <v>127</v>
      </c>
      <c r="T108" s="37" t="s">
        <v>175</v>
      </c>
      <c r="U108" s="37" t="s">
        <v>128</v>
      </c>
      <c r="V108" s="37" t="s">
        <v>297</v>
      </c>
      <c r="W108" s="37" t="s">
        <v>122</v>
      </c>
      <c r="X108" s="37"/>
      <c r="Y108" s="37"/>
      <c r="Z108" s="37"/>
      <c r="AA108" s="37">
        <v>0.2</v>
      </c>
    </row>
    <row r="109" spans="1:27" x14ac:dyDescent="0.25">
      <c r="A109" s="37" t="s">
        <v>54</v>
      </c>
      <c r="B109" s="37" t="s">
        <v>362</v>
      </c>
      <c r="C109" s="37" t="s">
        <v>461</v>
      </c>
      <c r="D109" s="37" t="s">
        <v>123</v>
      </c>
      <c r="E109" s="37" t="s">
        <v>61</v>
      </c>
      <c r="F109" s="37"/>
      <c r="G109" s="37" t="s">
        <v>365</v>
      </c>
      <c r="H109" s="37" t="s">
        <v>61</v>
      </c>
      <c r="I109" s="37" t="s">
        <v>148</v>
      </c>
      <c r="J109" s="37" t="s">
        <v>149</v>
      </c>
      <c r="K109" s="37" t="s">
        <v>297</v>
      </c>
      <c r="L109" s="37" t="s">
        <v>122</v>
      </c>
      <c r="M109" s="37" t="s">
        <v>136</v>
      </c>
      <c r="N109" s="37" t="s">
        <v>297</v>
      </c>
      <c r="O109" s="37" t="s">
        <v>122</v>
      </c>
      <c r="P109" s="37"/>
      <c r="Q109" s="37"/>
      <c r="R109" s="37"/>
      <c r="S109" s="37"/>
      <c r="T109" s="37"/>
      <c r="U109" s="37" t="s">
        <v>128</v>
      </c>
      <c r="V109" s="37" t="s">
        <v>297</v>
      </c>
      <c r="W109" s="37" t="s">
        <v>122</v>
      </c>
      <c r="X109" s="37"/>
      <c r="Y109" s="37"/>
      <c r="Z109" s="37" t="s">
        <v>462</v>
      </c>
      <c r="AA109" s="37">
        <v>0.2</v>
      </c>
    </row>
    <row r="110" spans="1:27" x14ac:dyDescent="0.25">
      <c r="A110" s="37" t="s">
        <v>54</v>
      </c>
      <c r="B110" s="37" t="s">
        <v>205</v>
      </c>
      <c r="C110" s="37" t="s">
        <v>463</v>
      </c>
      <c r="D110" s="37" t="s">
        <v>214</v>
      </c>
      <c r="E110" s="37" t="s">
        <v>61</v>
      </c>
      <c r="F110" s="37"/>
      <c r="G110" s="37" t="s">
        <v>119</v>
      </c>
      <c r="H110" s="37" t="s">
        <v>61</v>
      </c>
      <c r="I110" s="37" t="s">
        <v>464</v>
      </c>
      <c r="J110" s="37" t="s">
        <v>135</v>
      </c>
      <c r="K110" s="37" t="s">
        <v>61</v>
      </c>
      <c r="L110" s="37" t="s">
        <v>122</v>
      </c>
      <c r="M110" s="37" t="s">
        <v>136</v>
      </c>
      <c r="N110" s="37" t="s">
        <v>137</v>
      </c>
      <c r="O110" s="37" t="s">
        <v>122</v>
      </c>
      <c r="P110" s="37"/>
      <c r="Q110" s="37"/>
      <c r="R110" s="37"/>
      <c r="S110" s="37"/>
      <c r="T110" s="37"/>
      <c r="U110" s="37" t="s">
        <v>128</v>
      </c>
      <c r="V110" s="37" t="s">
        <v>137</v>
      </c>
      <c r="W110" s="37" t="s">
        <v>122</v>
      </c>
      <c r="X110" s="37"/>
      <c r="Y110" s="37"/>
      <c r="Z110" s="37"/>
      <c r="AA110" s="37">
        <v>0.2</v>
      </c>
    </row>
    <row r="111" spans="1:27" x14ac:dyDescent="0.25">
      <c r="A111" s="37" t="s">
        <v>54</v>
      </c>
      <c r="B111" s="37" t="s">
        <v>115</v>
      </c>
      <c r="C111" s="37" t="s">
        <v>465</v>
      </c>
      <c r="D111" s="37" t="s">
        <v>466</v>
      </c>
      <c r="E111" s="37" t="s">
        <v>61</v>
      </c>
      <c r="F111" s="37" t="s">
        <v>467</v>
      </c>
      <c r="G111" s="37" t="s">
        <v>365</v>
      </c>
      <c r="H111" s="37" t="s">
        <v>137</v>
      </c>
      <c r="I111" s="37" t="s">
        <v>468</v>
      </c>
      <c r="J111" s="37" t="s">
        <v>135</v>
      </c>
      <c r="K111" s="37" t="s">
        <v>187</v>
      </c>
      <c r="L111" s="37" t="s">
        <v>122</v>
      </c>
      <c r="M111" s="37" t="s">
        <v>136</v>
      </c>
      <c r="N111" s="37" t="s">
        <v>341</v>
      </c>
      <c r="O111" s="37" t="s">
        <v>122</v>
      </c>
      <c r="P111" s="37" t="s">
        <v>469</v>
      </c>
      <c r="Q111" s="37" t="s">
        <v>125</v>
      </c>
      <c r="R111" s="37" t="s">
        <v>73</v>
      </c>
      <c r="S111" s="37" t="s">
        <v>127</v>
      </c>
      <c r="T111" s="37" t="s">
        <v>127</v>
      </c>
      <c r="U111" s="37" t="s">
        <v>128</v>
      </c>
      <c r="V111" s="37" t="s">
        <v>341</v>
      </c>
      <c r="W111" s="37" t="s">
        <v>122</v>
      </c>
      <c r="X111" s="37" t="s">
        <v>470</v>
      </c>
      <c r="Y111" s="37" t="s">
        <v>78</v>
      </c>
      <c r="Z111" s="37" t="s">
        <v>471</v>
      </c>
      <c r="AA111" s="37">
        <v>0.2</v>
      </c>
    </row>
    <row r="112" spans="1:27" x14ac:dyDescent="0.25">
      <c r="A112" s="37" t="s">
        <v>54</v>
      </c>
      <c r="B112" s="37" t="s">
        <v>130</v>
      </c>
      <c r="C112" s="37" t="s">
        <v>472</v>
      </c>
      <c r="D112" s="37" t="s">
        <v>146</v>
      </c>
      <c r="E112" s="37" t="s">
        <v>61</v>
      </c>
      <c r="F112" s="37"/>
      <c r="G112" s="37" t="s">
        <v>147</v>
      </c>
      <c r="H112" s="37" t="s">
        <v>219</v>
      </c>
      <c r="I112" s="37" t="s">
        <v>148</v>
      </c>
      <c r="J112" s="37" t="s">
        <v>149</v>
      </c>
      <c r="K112" s="37" t="s">
        <v>73</v>
      </c>
      <c r="L112" s="37" t="s">
        <v>122</v>
      </c>
      <c r="M112" s="37" t="s">
        <v>136</v>
      </c>
      <c r="N112" s="37" t="s">
        <v>78</v>
      </c>
      <c r="O112" s="37" t="s">
        <v>122</v>
      </c>
      <c r="P112" s="37"/>
      <c r="Q112" s="37"/>
      <c r="R112" s="37"/>
      <c r="S112" s="37"/>
      <c r="T112" s="37"/>
      <c r="U112" s="37" t="s">
        <v>128</v>
      </c>
      <c r="V112" s="37" t="s">
        <v>78</v>
      </c>
      <c r="W112" s="37" t="s">
        <v>122</v>
      </c>
      <c r="X112" s="37"/>
      <c r="Y112" s="37"/>
      <c r="Z112" s="37"/>
      <c r="AA112" s="37">
        <v>0.2</v>
      </c>
    </row>
    <row r="113" spans="1:27" x14ac:dyDescent="0.25">
      <c r="A113" s="37" t="s">
        <v>473</v>
      </c>
      <c r="B113" s="37" t="s">
        <v>130</v>
      </c>
      <c r="C113" s="37" t="s">
        <v>474</v>
      </c>
      <c r="D113" s="37" t="s">
        <v>146</v>
      </c>
      <c r="E113" s="37" t="s">
        <v>61</v>
      </c>
      <c r="F113" s="37"/>
      <c r="G113" s="37" t="s">
        <v>147</v>
      </c>
      <c r="H113" s="37" t="s">
        <v>219</v>
      </c>
      <c r="I113" s="37" t="s">
        <v>148</v>
      </c>
      <c r="J113" s="37" t="s">
        <v>149</v>
      </c>
      <c r="K113" s="37" t="s">
        <v>73</v>
      </c>
      <c r="L113" s="37" t="s">
        <v>122</v>
      </c>
      <c r="M113" s="37" t="s">
        <v>136</v>
      </c>
      <c r="N113" s="37" t="s">
        <v>78</v>
      </c>
      <c r="O113" s="37" t="s">
        <v>122</v>
      </c>
      <c r="P113" s="37"/>
      <c r="Q113" s="37"/>
      <c r="R113" s="37"/>
      <c r="S113" s="37"/>
      <c r="T113" s="37"/>
      <c r="U113" s="37" t="s">
        <v>128</v>
      </c>
      <c r="V113" s="37" t="s">
        <v>78</v>
      </c>
      <c r="W113" s="37" t="s">
        <v>122</v>
      </c>
      <c r="X113" s="37"/>
      <c r="Y113" s="37"/>
      <c r="Z113" s="37"/>
      <c r="AA113" s="37">
        <v>0.2</v>
      </c>
    </row>
    <row r="114" spans="1:27" x14ac:dyDescent="0.25">
      <c r="A114" s="37" t="s">
        <v>54</v>
      </c>
      <c r="B114" s="37" t="s">
        <v>259</v>
      </c>
      <c r="C114" s="37" t="s">
        <v>475</v>
      </c>
      <c r="D114" s="37" t="s">
        <v>117</v>
      </c>
      <c r="E114" s="37" t="s">
        <v>61</v>
      </c>
      <c r="F114" s="37"/>
      <c r="G114" s="37" t="s">
        <v>119</v>
      </c>
      <c r="H114" s="37" t="s">
        <v>137</v>
      </c>
      <c r="I114" s="37" t="s">
        <v>476</v>
      </c>
      <c r="J114" s="37" t="s">
        <v>121</v>
      </c>
      <c r="K114" s="37" t="s">
        <v>161</v>
      </c>
      <c r="L114" s="37" t="s">
        <v>122</v>
      </c>
      <c r="M114" s="37" t="s">
        <v>123</v>
      </c>
      <c r="N114" s="37" t="s">
        <v>161</v>
      </c>
      <c r="O114" s="37" t="s">
        <v>122</v>
      </c>
      <c r="P114" s="37"/>
      <c r="Q114" s="37"/>
      <c r="R114" s="37"/>
      <c r="S114" s="37"/>
      <c r="T114" s="37"/>
      <c r="U114" s="37" t="s">
        <v>128</v>
      </c>
      <c r="V114" s="37" t="s">
        <v>161</v>
      </c>
      <c r="W114" s="37" t="s">
        <v>122</v>
      </c>
      <c r="X114" s="37"/>
      <c r="Y114" s="37"/>
      <c r="Z114" s="37"/>
      <c r="AA114" s="37">
        <v>0.2</v>
      </c>
    </row>
    <row r="115" spans="1:27" x14ac:dyDescent="0.25">
      <c r="A115" s="37" t="s">
        <v>54</v>
      </c>
      <c r="B115" s="37" t="s">
        <v>251</v>
      </c>
      <c r="C115" s="37" t="s">
        <v>475</v>
      </c>
      <c r="D115" s="37" t="s">
        <v>117</v>
      </c>
      <c r="E115" s="37" t="s">
        <v>61</v>
      </c>
      <c r="F115" s="37"/>
      <c r="G115" s="37" t="s">
        <v>119</v>
      </c>
      <c r="H115" s="37" t="s">
        <v>137</v>
      </c>
      <c r="I115" s="37" t="s">
        <v>476</v>
      </c>
      <c r="J115" s="37" t="s">
        <v>121</v>
      </c>
      <c r="K115" s="37" t="s">
        <v>161</v>
      </c>
      <c r="L115" s="37" t="s">
        <v>122</v>
      </c>
      <c r="M115" s="37" t="s">
        <v>123</v>
      </c>
      <c r="N115" s="37" t="s">
        <v>161</v>
      </c>
      <c r="O115" s="37" t="s">
        <v>122</v>
      </c>
      <c r="P115" s="37" t="s">
        <v>405</v>
      </c>
      <c r="Q115" s="37" t="s">
        <v>165</v>
      </c>
      <c r="R115" s="37" t="s">
        <v>219</v>
      </c>
      <c r="S115" s="37" t="s">
        <v>127</v>
      </c>
      <c r="T115" s="37" t="s">
        <v>175</v>
      </c>
      <c r="U115" s="37" t="s">
        <v>128</v>
      </c>
      <c r="V115" s="37" t="s">
        <v>161</v>
      </c>
      <c r="W115" s="37" t="s">
        <v>122</v>
      </c>
      <c r="X115" s="37"/>
      <c r="Y115" s="37"/>
      <c r="Z115" s="37"/>
      <c r="AA115" s="37">
        <v>0.2</v>
      </c>
    </row>
    <row r="116" spans="1:27" x14ac:dyDescent="0.25">
      <c r="A116" s="37" t="s">
        <v>59</v>
      </c>
      <c r="B116" s="37" t="s">
        <v>130</v>
      </c>
      <c r="C116" s="37" t="s">
        <v>477</v>
      </c>
      <c r="D116" s="37" t="s">
        <v>146</v>
      </c>
      <c r="E116" s="37" t="s">
        <v>61</v>
      </c>
      <c r="F116" s="37"/>
      <c r="G116" s="37" t="s">
        <v>147</v>
      </c>
      <c r="H116" s="37" t="s">
        <v>219</v>
      </c>
      <c r="I116" s="37" t="s">
        <v>148</v>
      </c>
      <c r="J116" s="37" t="s">
        <v>149</v>
      </c>
      <c r="K116" s="37" t="s">
        <v>73</v>
      </c>
      <c r="L116" s="37" t="s">
        <v>122</v>
      </c>
      <c r="M116" s="37" t="s">
        <v>136</v>
      </c>
      <c r="N116" s="37" t="s">
        <v>78</v>
      </c>
      <c r="O116" s="37" t="s">
        <v>122</v>
      </c>
      <c r="P116" s="37"/>
      <c r="Q116" s="37"/>
      <c r="R116" s="37"/>
      <c r="S116" s="37"/>
      <c r="T116" s="37"/>
      <c r="U116" s="37" t="s">
        <v>128</v>
      </c>
      <c r="V116" s="37" t="s">
        <v>78</v>
      </c>
      <c r="W116" s="37" t="s">
        <v>122</v>
      </c>
      <c r="X116" s="37"/>
      <c r="Y116" s="37"/>
      <c r="Z116" s="37"/>
      <c r="AA116" s="37">
        <v>0.2</v>
      </c>
    </row>
    <row r="117" spans="1:27" x14ac:dyDescent="0.25">
      <c r="A117" s="37" t="s">
        <v>473</v>
      </c>
      <c r="B117" s="37" t="s">
        <v>342</v>
      </c>
      <c r="C117" s="37" t="s">
        <v>478</v>
      </c>
      <c r="D117" s="37" t="s">
        <v>328</v>
      </c>
      <c r="E117" s="37" t="s">
        <v>61</v>
      </c>
      <c r="F117" s="37"/>
      <c r="G117" s="37" t="s">
        <v>119</v>
      </c>
      <c r="H117" s="37" t="s">
        <v>159</v>
      </c>
      <c r="I117" s="37" t="s">
        <v>305</v>
      </c>
      <c r="J117" s="37" t="s">
        <v>121</v>
      </c>
      <c r="K117" s="37" t="s">
        <v>159</v>
      </c>
      <c r="L117" s="37" t="s">
        <v>122</v>
      </c>
      <c r="M117" s="37" t="s">
        <v>136</v>
      </c>
      <c r="N117" s="37" t="s">
        <v>297</v>
      </c>
      <c r="O117" s="37" t="s">
        <v>122</v>
      </c>
      <c r="P117" s="37"/>
      <c r="Q117" s="37"/>
      <c r="R117" s="37"/>
      <c r="S117" s="37"/>
      <c r="T117" s="37"/>
      <c r="U117" s="37" t="s">
        <v>128</v>
      </c>
      <c r="V117" s="37" t="s">
        <v>297</v>
      </c>
      <c r="W117" s="37" t="s">
        <v>122</v>
      </c>
      <c r="X117" s="37"/>
      <c r="Y117" s="37"/>
      <c r="Z117" s="37"/>
      <c r="AA117" s="37">
        <v>0.2</v>
      </c>
    </row>
    <row r="118" spans="1:27" x14ac:dyDescent="0.25">
      <c r="A118" s="37" t="s">
        <v>54</v>
      </c>
      <c r="B118" s="37" t="s">
        <v>242</v>
      </c>
      <c r="C118" s="37" t="s">
        <v>479</v>
      </c>
      <c r="D118" s="37" t="s">
        <v>178</v>
      </c>
      <c r="E118" s="37" t="s">
        <v>61</v>
      </c>
      <c r="F118" s="37"/>
      <c r="G118" s="37" t="s">
        <v>119</v>
      </c>
      <c r="H118" s="37" t="s">
        <v>166</v>
      </c>
      <c r="I118" s="37" t="s">
        <v>480</v>
      </c>
      <c r="J118" s="37" t="s">
        <v>121</v>
      </c>
      <c r="K118" s="37" t="s">
        <v>166</v>
      </c>
      <c r="L118" s="37" t="s">
        <v>122</v>
      </c>
      <c r="M118" s="37" t="s">
        <v>136</v>
      </c>
      <c r="N118" s="37" t="s">
        <v>166</v>
      </c>
      <c r="O118" s="37" t="s">
        <v>122</v>
      </c>
      <c r="P118" s="37"/>
      <c r="Q118" s="37"/>
      <c r="R118" s="37"/>
      <c r="S118" s="37"/>
      <c r="T118" s="37"/>
      <c r="U118" s="37" t="s">
        <v>128</v>
      </c>
      <c r="V118" s="37" t="s">
        <v>166</v>
      </c>
      <c r="W118" s="37" t="s">
        <v>122</v>
      </c>
      <c r="X118" s="37"/>
      <c r="Y118" s="37"/>
      <c r="Z118" s="37" t="s">
        <v>481</v>
      </c>
      <c r="AA118" s="37">
        <v>0.2</v>
      </c>
    </row>
    <row r="119" spans="1:27" x14ac:dyDescent="0.25">
      <c r="A119" s="37" t="s">
        <v>54</v>
      </c>
      <c r="B119" s="37" t="s">
        <v>156</v>
      </c>
      <c r="C119" s="37" t="s">
        <v>482</v>
      </c>
      <c r="D119" s="37" t="s">
        <v>158</v>
      </c>
      <c r="E119" s="37" t="s">
        <v>61</v>
      </c>
      <c r="F119" s="37"/>
      <c r="G119" s="37" t="s">
        <v>119</v>
      </c>
      <c r="H119" s="37" t="s">
        <v>159</v>
      </c>
      <c r="I119" s="37" t="s">
        <v>483</v>
      </c>
      <c r="J119" s="37" t="s">
        <v>121</v>
      </c>
      <c r="K119" s="37" t="s">
        <v>159</v>
      </c>
      <c r="L119" s="37" t="s">
        <v>122</v>
      </c>
      <c r="M119" s="37" t="s">
        <v>136</v>
      </c>
      <c r="N119" s="37" t="s">
        <v>166</v>
      </c>
      <c r="O119" s="37" t="s">
        <v>122</v>
      </c>
      <c r="P119" s="37"/>
      <c r="Q119" s="37"/>
      <c r="R119" s="37"/>
      <c r="S119" s="37"/>
      <c r="T119" s="37"/>
      <c r="U119" s="37" t="s">
        <v>128</v>
      </c>
      <c r="V119" s="37" t="s">
        <v>166</v>
      </c>
      <c r="W119" s="37" t="s">
        <v>122</v>
      </c>
      <c r="X119" s="37" t="s">
        <v>136</v>
      </c>
      <c r="Y119" s="37" t="s">
        <v>166</v>
      </c>
      <c r="Z119" s="37"/>
      <c r="AA119" s="37">
        <v>0.2</v>
      </c>
    </row>
    <row r="120" spans="1:27" x14ac:dyDescent="0.25">
      <c r="A120" s="37" t="s">
        <v>54</v>
      </c>
      <c r="B120" s="37" t="s">
        <v>484</v>
      </c>
      <c r="C120" s="37" t="s">
        <v>485</v>
      </c>
      <c r="D120" s="37" t="s">
        <v>214</v>
      </c>
      <c r="E120" s="37" t="s">
        <v>61</v>
      </c>
      <c r="F120" s="37"/>
      <c r="G120" s="37" t="s">
        <v>119</v>
      </c>
      <c r="H120" s="37" t="s">
        <v>61</v>
      </c>
      <c r="I120" s="37" t="s">
        <v>486</v>
      </c>
      <c r="J120" s="37" t="s">
        <v>135</v>
      </c>
      <c r="K120" s="37" t="s">
        <v>61</v>
      </c>
      <c r="L120" s="37" t="s">
        <v>122</v>
      </c>
      <c r="M120" s="37" t="s">
        <v>136</v>
      </c>
      <c r="N120" s="37" t="s">
        <v>137</v>
      </c>
      <c r="O120" s="37" t="s">
        <v>122</v>
      </c>
      <c r="P120" s="37"/>
      <c r="Q120" s="37"/>
      <c r="R120" s="37"/>
      <c r="S120" s="37"/>
      <c r="T120" s="37"/>
      <c r="U120" s="37" t="s">
        <v>128</v>
      </c>
      <c r="V120" s="37" t="s">
        <v>137</v>
      </c>
      <c r="W120" s="37" t="s">
        <v>122</v>
      </c>
      <c r="X120" s="37"/>
      <c r="Y120" s="37"/>
      <c r="Z120" s="37" t="s">
        <v>487</v>
      </c>
      <c r="AA120" s="37">
        <v>0.2</v>
      </c>
    </row>
    <row r="121" spans="1:27" x14ac:dyDescent="0.25">
      <c r="A121" s="37" t="s">
        <v>488</v>
      </c>
      <c r="B121" s="37" t="s">
        <v>130</v>
      </c>
      <c r="C121" s="37" t="s">
        <v>489</v>
      </c>
      <c r="D121" s="37" t="s">
        <v>132</v>
      </c>
      <c r="E121" s="37" t="s">
        <v>61</v>
      </c>
      <c r="F121" s="37"/>
      <c r="G121" s="37" t="s">
        <v>119</v>
      </c>
      <c r="H121" s="37" t="s">
        <v>318</v>
      </c>
      <c r="I121" s="37" t="s">
        <v>490</v>
      </c>
      <c r="J121" s="37" t="s">
        <v>121</v>
      </c>
      <c r="K121" s="37" t="s">
        <v>318</v>
      </c>
      <c r="L121" s="37" t="s">
        <v>122</v>
      </c>
      <c r="M121" s="37" t="s">
        <v>136</v>
      </c>
      <c r="N121" s="37" t="s">
        <v>78</v>
      </c>
      <c r="O121" s="37" t="s">
        <v>122</v>
      </c>
      <c r="P121" s="37"/>
      <c r="Q121" s="37"/>
      <c r="R121" s="37"/>
      <c r="S121" s="37"/>
      <c r="T121" s="37"/>
      <c r="U121" s="37" t="s">
        <v>128</v>
      </c>
      <c r="V121" s="37" t="s">
        <v>78</v>
      </c>
      <c r="W121" s="37" t="s">
        <v>122</v>
      </c>
      <c r="X121" s="37" t="s">
        <v>136</v>
      </c>
      <c r="Y121" s="37" t="s">
        <v>78</v>
      </c>
      <c r="Z121" s="37"/>
      <c r="AA121" s="37">
        <v>0.2</v>
      </c>
    </row>
    <row r="122" spans="1:27" x14ac:dyDescent="0.25">
      <c r="A122" s="37" t="s">
        <v>491</v>
      </c>
      <c r="B122" s="37" t="s">
        <v>167</v>
      </c>
      <c r="C122" s="37" t="s">
        <v>492</v>
      </c>
      <c r="D122" s="37" t="s">
        <v>169</v>
      </c>
      <c r="E122" s="37" t="s">
        <v>159</v>
      </c>
      <c r="F122" s="37"/>
      <c r="G122" s="37" t="s">
        <v>119</v>
      </c>
      <c r="H122" s="37" t="s">
        <v>68</v>
      </c>
      <c r="I122" s="37" t="s">
        <v>493</v>
      </c>
      <c r="J122" s="37" t="s">
        <v>149</v>
      </c>
      <c r="K122" s="37" t="s">
        <v>161</v>
      </c>
      <c r="L122" s="37" t="s">
        <v>122</v>
      </c>
      <c r="M122" s="37" t="s">
        <v>136</v>
      </c>
      <c r="N122" s="37" t="s">
        <v>187</v>
      </c>
      <c r="O122" s="37" t="s">
        <v>122</v>
      </c>
      <c r="P122" s="37" t="s">
        <v>218</v>
      </c>
      <c r="Q122" s="37" t="s">
        <v>174</v>
      </c>
      <c r="R122" s="37" t="s">
        <v>219</v>
      </c>
      <c r="S122" s="37" t="s">
        <v>127</v>
      </c>
      <c r="T122" s="37" t="s">
        <v>175</v>
      </c>
      <c r="U122" s="37" t="s">
        <v>128</v>
      </c>
      <c r="V122" s="37" t="s">
        <v>187</v>
      </c>
      <c r="W122" s="37" t="s">
        <v>122</v>
      </c>
      <c r="X122" s="37"/>
      <c r="Y122" s="37"/>
      <c r="Z122" s="37"/>
      <c r="AA122" s="37">
        <v>0.2</v>
      </c>
    </row>
    <row r="123" spans="1:27" x14ac:dyDescent="0.25">
      <c r="A123" s="37" t="s">
        <v>54</v>
      </c>
      <c r="B123" s="37" t="s">
        <v>167</v>
      </c>
      <c r="C123" s="37" t="s">
        <v>494</v>
      </c>
      <c r="D123" s="37" t="s">
        <v>169</v>
      </c>
      <c r="E123" s="37" t="s">
        <v>159</v>
      </c>
      <c r="F123" s="37"/>
      <c r="G123" s="37" t="s">
        <v>119</v>
      </c>
      <c r="H123" s="37" t="s">
        <v>68</v>
      </c>
      <c r="I123" s="37" t="s">
        <v>495</v>
      </c>
      <c r="J123" s="37" t="s">
        <v>149</v>
      </c>
      <c r="K123" s="37" t="s">
        <v>161</v>
      </c>
      <c r="L123" s="37" t="s">
        <v>122</v>
      </c>
      <c r="M123" s="37" t="s">
        <v>136</v>
      </c>
      <c r="N123" s="37" t="s">
        <v>187</v>
      </c>
      <c r="O123" s="37" t="s">
        <v>122</v>
      </c>
      <c r="P123" s="37" t="s">
        <v>218</v>
      </c>
      <c r="Q123" s="37" t="s">
        <v>174</v>
      </c>
      <c r="R123" s="37" t="s">
        <v>219</v>
      </c>
      <c r="S123" s="37" t="s">
        <v>127</v>
      </c>
      <c r="T123" s="37" t="s">
        <v>175</v>
      </c>
      <c r="U123" s="37" t="s">
        <v>128</v>
      </c>
      <c r="V123" s="37" t="s">
        <v>187</v>
      </c>
      <c r="W123" s="37" t="s">
        <v>122</v>
      </c>
      <c r="X123" s="37"/>
      <c r="Y123" s="37"/>
      <c r="Z123" s="37"/>
      <c r="AA123" s="37">
        <v>0.2</v>
      </c>
    </row>
    <row r="124" spans="1:27" x14ac:dyDescent="0.25">
      <c r="A124" s="37" t="s">
        <v>496</v>
      </c>
      <c r="B124" s="37" t="s">
        <v>167</v>
      </c>
      <c r="C124" s="37" t="s">
        <v>497</v>
      </c>
      <c r="D124" s="37" t="s">
        <v>169</v>
      </c>
      <c r="E124" s="37" t="s">
        <v>159</v>
      </c>
      <c r="F124" s="37" t="s">
        <v>498</v>
      </c>
      <c r="G124" s="37" t="s">
        <v>119</v>
      </c>
      <c r="H124" s="37" t="s">
        <v>68</v>
      </c>
      <c r="I124" s="37" t="s">
        <v>499</v>
      </c>
      <c r="J124" s="37" t="s">
        <v>149</v>
      </c>
      <c r="K124" s="37" t="s">
        <v>161</v>
      </c>
      <c r="L124" s="37" t="s">
        <v>122</v>
      </c>
      <c r="M124" s="37" t="s">
        <v>136</v>
      </c>
      <c r="N124" s="37" t="s">
        <v>187</v>
      </c>
      <c r="O124" s="37" t="s">
        <v>122</v>
      </c>
      <c r="P124" s="37" t="s">
        <v>218</v>
      </c>
      <c r="Q124" s="37" t="s">
        <v>174</v>
      </c>
      <c r="R124" s="37" t="s">
        <v>219</v>
      </c>
      <c r="S124" s="37" t="s">
        <v>127</v>
      </c>
      <c r="T124" s="37" t="s">
        <v>127</v>
      </c>
      <c r="U124" s="37" t="s">
        <v>128</v>
      </c>
      <c r="V124" s="37" t="s">
        <v>187</v>
      </c>
      <c r="W124" s="37" t="s">
        <v>122</v>
      </c>
      <c r="X124" s="37"/>
      <c r="Y124" s="37"/>
      <c r="Z124" s="37"/>
      <c r="AA124" s="37">
        <v>0.2</v>
      </c>
    </row>
    <row r="125" spans="1:27" x14ac:dyDescent="0.25">
      <c r="A125" s="37" t="s">
        <v>491</v>
      </c>
      <c r="B125" s="37" t="s">
        <v>380</v>
      </c>
      <c r="C125" s="37" t="s">
        <v>500</v>
      </c>
      <c r="D125" s="37" t="s">
        <v>435</v>
      </c>
      <c r="E125" s="37" t="s">
        <v>159</v>
      </c>
      <c r="F125" s="37"/>
      <c r="G125" s="37" t="s">
        <v>119</v>
      </c>
      <c r="H125" s="37" t="s">
        <v>68</v>
      </c>
      <c r="I125" s="37" t="s">
        <v>501</v>
      </c>
      <c r="J125" s="37" t="s">
        <v>135</v>
      </c>
      <c r="K125" s="37" t="s">
        <v>68</v>
      </c>
      <c r="L125" s="37" t="s">
        <v>122</v>
      </c>
      <c r="M125" s="37" t="s">
        <v>136</v>
      </c>
      <c r="N125" s="37" t="s">
        <v>137</v>
      </c>
      <c r="O125" s="37" t="s">
        <v>122</v>
      </c>
      <c r="P125" s="37"/>
      <c r="Q125" s="37"/>
      <c r="R125" s="37"/>
      <c r="S125" s="37"/>
      <c r="T125" s="37"/>
      <c r="U125" s="37" t="s">
        <v>128</v>
      </c>
      <c r="V125" s="37" t="s">
        <v>137</v>
      </c>
      <c r="W125" s="37" t="s">
        <v>122</v>
      </c>
      <c r="X125" s="37"/>
      <c r="Y125" s="37"/>
      <c r="Z125" s="37"/>
      <c r="AA125" s="37">
        <v>0.2</v>
      </c>
    </row>
    <row r="126" spans="1:27" x14ac:dyDescent="0.25">
      <c r="A126" s="37" t="s">
        <v>491</v>
      </c>
      <c r="B126" s="37" t="s">
        <v>362</v>
      </c>
      <c r="C126" s="37" t="s">
        <v>502</v>
      </c>
      <c r="D126" s="37" t="s">
        <v>503</v>
      </c>
      <c r="E126" s="37" t="s">
        <v>159</v>
      </c>
      <c r="F126" s="37"/>
      <c r="G126" s="37" t="s">
        <v>365</v>
      </c>
      <c r="H126" s="37" t="s">
        <v>137</v>
      </c>
      <c r="I126" s="37" t="s">
        <v>148</v>
      </c>
      <c r="J126" s="37" t="s">
        <v>149</v>
      </c>
      <c r="K126" s="37" t="s">
        <v>137</v>
      </c>
      <c r="L126" s="37" t="s">
        <v>122</v>
      </c>
      <c r="M126" s="37" t="s">
        <v>136</v>
      </c>
      <c r="N126" s="37" t="s">
        <v>137</v>
      </c>
      <c r="O126" s="37" t="s">
        <v>122</v>
      </c>
      <c r="P126" s="37" t="s">
        <v>504</v>
      </c>
      <c r="Q126" s="37" t="s">
        <v>440</v>
      </c>
      <c r="R126" s="37" t="s">
        <v>341</v>
      </c>
      <c r="S126" s="37" t="s">
        <v>127</v>
      </c>
      <c r="T126" s="37" t="s">
        <v>127</v>
      </c>
      <c r="U126" s="37" t="s">
        <v>128</v>
      </c>
      <c r="V126" s="37" t="s">
        <v>137</v>
      </c>
      <c r="W126" s="37" t="s">
        <v>122</v>
      </c>
      <c r="X126" s="37"/>
      <c r="Y126" s="37"/>
      <c r="Z126" s="37"/>
      <c r="AA126" s="37">
        <v>0.2</v>
      </c>
    </row>
    <row r="127" spans="1:27" x14ac:dyDescent="0.25">
      <c r="A127" s="37" t="s">
        <v>473</v>
      </c>
      <c r="B127" s="37" t="s">
        <v>242</v>
      </c>
      <c r="C127" s="37" t="s">
        <v>505</v>
      </c>
      <c r="D127" s="37" t="s">
        <v>158</v>
      </c>
      <c r="E127" s="37" t="s">
        <v>159</v>
      </c>
      <c r="F127" s="37"/>
      <c r="G127" s="37" t="s">
        <v>119</v>
      </c>
      <c r="H127" s="37" t="s">
        <v>159</v>
      </c>
      <c r="I127" s="37" t="s">
        <v>483</v>
      </c>
      <c r="J127" s="37" t="s">
        <v>121</v>
      </c>
      <c r="K127" s="37" t="s">
        <v>159</v>
      </c>
      <c r="L127" s="37" t="s">
        <v>122</v>
      </c>
      <c r="M127" s="37" t="s">
        <v>136</v>
      </c>
      <c r="N127" s="37" t="s">
        <v>166</v>
      </c>
      <c r="O127" s="37" t="s">
        <v>122</v>
      </c>
      <c r="P127" s="37"/>
      <c r="Q127" s="37"/>
      <c r="R127" s="37"/>
      <c r="S127" s="37"/>
      <c r="T127" s="37"/>
      <c r="U127" s="37" t="s">
        <v>128</v>
      </c>
      <c r="V127" s="37" t="s">
        <v>166</v>
      </c>
      <c r="W127" s="37" t="s">
        <v>122</v>
      </c>
      <c r="X127" s="37"/>
      <c r="Y127" s="37"/>
      <c r="Z127" s="37"/>
      <c r="AA127" s="37">
        <v>0.2</v>
      </c>
    </row>
    <row r="128" spans="1:27" x14ac:dyDescent="0.25">
      <c r="A128" s="37" t="s">
        <v>473</v>
      </c>
      <c r="B128" s="37" t="s">
        <v>115</v>
      </c>
      <c r="C128" s="37" t="s">
        <v>505</v>
      </c>
      <c r="D128" s="37" t="s">
        <v>158</v>
      </c>
      <c r="E128" s="37" t="s">
        <v>159</v>
      </c>
      <c r="F128" s="37"/>
      <c r="G128" s="37" t="s">
        <v>119</v>
      </c>
      <c r="H128" s="37" t="s">
        <v>159</v>
      </c>
      <c r="I128" s="37" t="s">
        <v>483</v>
      </c>
      <c r="J128" s="37" t="s">
        <v>121</v>
      </c>
      <c r="K128" s="37" t="s">
        <v>159</v>
      </c>
      <c r="L128" s="37" t="s">
        <v>122</v>
      </c>
      <c r="M128" s="37" t="s">
        <v>136</v>
      </c>
      <c r="N128" s="37" t="s">
        <v>166</v>
      </c>
      <c r="O128" s="37" t="s">
        <v>122</v>
      </c>
      <c r="P128" s="37" t="s">
        <v>258</v>
      </c>
      <c r="Q128" s="37" t="s">
        <v>125</v>
      </c>
      <c r="R128" s="37" t="s">
        <v>64</v>
      </c>
      <c r="S128" s="37" t="s">
        <v>127</v>
      </c>
      <c r="T128" s="37" t="s">
        <v>127</v>
      </c>
      <c r="U128" s="37" t="s">
        <v>128</v>
      </c>
      <c r="V128" s="37" t="s">
        <v>166</v>
      </c>
      <c r="W128" s="37" t="s">
        <v>122</v>
      </c>
      <c r="X128" s="37"/>
      <c r="Y128" s="37"/>
      <c r="Z128" s="37"/>
      <c r="AA128" s="37">
        <v>0.2</v>
      </c>
    </row>
    <row r="129" spans="1:27" x14ac:dyDescent="0.25">
      <c r="A129" s="37" t="s">
        <v>496</v>
      </c>
      <c r="B129" s="37" t="s">
        <v>380</v>
      </c>
      <c r="C129" s="37" t="s">
        <v>506</v>
      </c>
      <c r="D129" s="37" t="s">
        <v>435</v>
      </c>
      <c r="E129" s="37" t="s">
        <v>159</v>
      </c>
      <c r="F129" s="37"/>
      <c r="G129" s="37" t="s">
        <v>119</v>
      </c>
      <c r="H129" s="37" t="s">
        <v>68</v>
      </c>
      <c r="I129" s="37" t="s">
        <v>507</v>
      </c>
      <c r="J129" s="37" t="s">
        <v>135</v>
      </c>
      <c r="K129" s="37" t="s">
        <v>68</v>
      </c>
      <c r="L129" s="37" t="s">
        <v>122</v>
      </c>
      <c r="M129" s="37" t="s">
        <v>136</v>
      </c>
      <c r="N129" s="37" t="s">
        <v>137</v>
      </c>
      <c r="O129" s="37" t="s">
        <v>122</v>
      </c>
      <c r="P129" s="37" t="s">
        <v>453</v>
      </c>
      <c r="Q129" s="37" t="s">
        <v>454</v>
      </c>
      <c r="R129" s="37" t="s">
        <v>137</v>
      </c>
      <c r="S129" s="37" t="s">
        <v>175</v>
      </c>
      <c r="T129" s="37" t="s">
        <v>175</v>
      </c>
      <c r="U129" s="37" t="s">
        <v>128</v>
      </c>
      <c r="V129" s="37" t="s">
        <v>137</v>
      </c>
      <c r="W129" s="37" t="s">
        <v>122</v>
      </c>
      <c r="X129" s="37"/>
      <c r="Y129" s="37"/>
      <c r="Z129" s="37"/>
      <c r="AA129" s="37">
        <v>0.2</v>
      </c>
    </row>
    <row r="130" spans="1:27" x14ac:dyDescent="0.25">
      <c r="A130" s="37" t="s">
        <v>491</v>
      </c>
      <c r="B130" s="37" t="s">
        <v>162</v>
      </c>
      <c r="C130" s="37" t="s">
        <v>508</v>
      </c>
      <c r="D130" s="37" t="s">
        <v>117</v>
      </c>
      <c r="E130" s="37" t="s">
        <v>159</v>
      </c>
      <c r="F130" s="37"/>
      <c r="G130" s="37" t="s">
        <v>119</v>
      </c>
      <c r="H130" s="37" t="s">
        <v>137</v>
      </c>
      <c r="I130" s="37" t="s">
        <v>509</v>
      </c>
      <c r="J130" s="37" t="s">
        <v>121</v>
      </c>
      <c r="K130" s="37" t="s">
        <v>161</v>
      </c>
      <c r="L130" s="37" t="s">
        <v>122</v>
      </c>
      <c r="M130" s="37" t="s">
        <v>123</v>
      </c>
      <c r="N130" s="37" t="s">
        <v>161</v>
      </c>
      <c r="O130" s="37" t="s">
        <v>122</v>
      </c>
      <c r="P130" s="37" t="s">
        <v>510</v>
      </c>
      <c r="Q130" s="37" t="s">
        <v>165</v>
      </c>
      <c r="R130" s="37" t="s">
        <v>219</v>
      </c>
      <c r="S130" s="37" t="s">
        <v>175</v>
      </c>
      <c r="T130" s="37" t="s">
        <v>175</v>
      </c>
      <c r="U130" s="37" t="s">
        <v>128</v>
      </c>
      <c r="V130" s="37" t="s">
        <v>161</v>
      </c>
      <c r="W130" s="37" t="s">
        <v>122</v>
      </c>
      <c r="X130" s="37"/>
      <c r="Y130" s="37"/>
      <c r="Z130" s="37"/>
      <c r="AA130" s="37">
        <v>0.2</v>
      </c>
    </row>
    <row r="131" spans="1:27" x14ac:dyDescent="0.25">
      <c r="A131" s="37" t="s">
        <v>491</v>
      </c>
      <c r="B131" s="37" t="s">
        <v>130</v>
      </c>
      <c r="C131" s="37" t="s">
        <v>511</v>
      </c>
      <c r="D131" s="37" t="s">
        <v>146</v>
      </c>
      <c r="E131" s="37" t="s">
        <v>159</v>
      </c>
      <c r="F131" s="37" t="s">
        <v>512</v>
      </c>
      <c r="G131" s="37" t="s">
        <v>147</v>
      </c>
      <c r="H131" s="37" t="s">
        <v>219</v>
      </c>
      <c r="I131" s="37" t="s">
        <v>513</v>
      </c>
      <c r="J131" s="37" t="s">
        <v>149</v>
      </c>
      <c r="K131" s="37" t="s">
        <v>73</v>
      </c>
      <c r="L131" s="37" t="s">
        <v>122</v>
      </c>
      <c r="M131" s="37" t="s">
        <v>136</v>
      </c>
      <c r="N131" s="37" t="s">
        <v>78</v>
      </c>
      <c r="O131" s="37" t="s">
        <v>122</v>
      </c>
      <c r="P131" s="37"/>
      <c r="Q131" s="37"/>
      <c r="R131" s="37"/>
      <c r="S131" s="37"/>
      <c r="T131" s="37"/>
      <c r="U131" s="37" t="s">
        <v>128</v>
      </c>
      <c r="V131" s="37" t="s">
        <v>78</v>
      </c>
      <c r="W131" s="37" t="s">
        <v>122</v>
      </c>
      <c r="X131" s="37" t="s">
        <v>136</v>
      </c>
      <c r="Y131" s="37" t="s">
        <v>78</v>
      </c>
      <c r="Z131" s="37"/>
      <c r="AA131" s="37">
        <v>0.2</v>
      </c>
    </row>
    <row r="132" spans="1:27" x14ac:dyDescent="0.25">
      <c r="A132" s="37" t="s">
        <v>514</v>
      </c>
      <c r="B132" s="37" t="s">
        <v>167</v>
      </c>
      <c r="C132" s="37" t="s">
        <v>515</v>
      </c>
      <c r="D132" s="37" t="s">
        <v>169</v>
      </c>
      <c r="E132" s="37" t="s">
        <v>159</v>
      </c>
      <c r="F132" s="37"/>
      <c r="G132" s="37" t="s">
        <v>119</v>
      </c>
      <c r="H132" s="37" t="s">
        <v>68</v>
      </c>
      <c r="I132" s="37" t="s">
        <v>516</v>
      </c>
      <c r="J132" s="37" t="s">
        <v>149</v>
      </c>
      <c r="K132" s="37" t="s">
        <v>161</v>
      </c>
      <c r="L132" s="37" t="s">
        <v>122</v>
      </c>
      <c r="M132" s="37" t="s">
        <v>136</v>
      </c>
      <c r="N132" s="37" t="s">
        <v>187</v>
      </c>
      <c r="O132" s="37" t="s">
        <v>122</v>
      </c>
      <c r="P132" s="37" t="s">
        <v>218</v>
      </c>
      <c r="Q132" s="37" t="s">
        <v>174</v>
      </c>
      <c r="R132" s="37" t="s">
        <v>219</v>
      </c>
      <c r="S132" s="37" t="s">
        <v>127</v>
      </c>
      <c r="T132" s="37" t="s">
        <v>127</v>
      </c>
      <c r="U132" s="37" t="s">
        <v>128</v>
      </c>
      <c r="V132" s="37" t="s">
        <v>187</v>
      </c>
      <c r="W132" s="37" t="s">
        <v>122</v>
      </c>
      <c r="X132" s="37"/>
      <c r="Y132" s="37"/>
      <c r="Z132" s="37"/>
      <c r="AA132" s="37">
        <v>0.2</v>
      </c>
    </row>
    <row r="133" spans="1:27" x14ac:dyDescent="0.25">
      <c r="A133" s="37" t="s">
        <v>491</v>
      </c>
      <c r="B133" s="37" t="s">
        <v>517</v>
      </c>
      <c r="C133" s="37" t="s">
        <v>518</v>
      </c>
      <c r="D133" s="37" t="s">
        <v>292</v>
      </c>
      <c r="E133" s="37" t="s">
        <v>159</v>
      </c>
      <c r="F133" s="37"/>
      <c r="G133" s="37" t="s">
        <v>119</v>
      </c>
      <c r="H133" s="37" t="s">
        <v>161</v>
      </c>
      <c r="I133" s="37" t="s">
        <v>519</v>
      </c>
      <c r="J133" s="37" t="s">
        <v>121</v>
      </c>
      <c r="K133" s="37" t="s">
        <v>161</v>
      </c>
      <c r="L133" s="37" t="s">
        <v>122</v>
      </c>
      <c r="M133" s="37" t="s">
        <v>123</v>
      </c>
      <c r="N133" s="37" t="s">
        <v>341</v>
      </c>
      <c r="O133" s="37" t="s">
        <v>122</v>
      </c>
      <c r="P133" s="37"/>
      <c r="Q133" s="37"/>
      <c r="R133" s="37"/>
      <c r="S133" s="37"/>
      <c r="T133" s="37"/>
      <c r="U133" s="37" t="s">
        <v>128</v>
      </c>
      <c r="V133" s="37" t="s">
        <v>341</v>
      </c>
      <c r="W133" s="37" t="s">
        <v>122</v>
      </c>
      <c r="X133" s="37"/>
      <c r="Y133" s="37"/>
      <c r="Z133" s="37"/>
      <c r="AA133" s="37">
        <v>0.2</v>
      </c>
    </row>
    <row r="134" spans="1:27" x14ac:dyDescent="0.25">
      <c r="A134" s="37" t="s">
        <v>491</v>
      </c>
      <c r="B134" s="37" t="s">
        <v>251</v>
      </c>
      <c r="C134" s="37" t="s">
        <v>520</v>
      </c>
      <c r="D134" s="37" t="s">
        <v>117</v>
      </c>
      <c r="E134" s="37" t="s">
        <v>159</v>
      </c>
      <c r="F134" s="37"/>
      <c r="G134" s="37" t="s">
        <v>119</v>
      </c>
      <c r="H134" s="37" t="s">
        <v>137</v>
      </c>
      <c r="I134" s="37" t="s">
        <v>521</v>
      </c>
      <c r="J134" s="37" t="s">
        <v>121</v>
      </c>
      <c r="K134" s="37" t="s">
        <v>161</v>
      </c>
      <c r="L134" s="37" t="s">
        <v>122</v>
      </c>
      <c r="M134" s="37" t="s">
        <v>123</v>
      </c>
      <c r="N134" s="37" t="s">
        <v>161</v>
      </c>
      <c r="O134" s="37" t="s">
        <v>122</v>
      </c>
      <c r="P134" s="37" t="s">
        <v>405</v>
      </c>
      <c r="Q134" s="37" t="s">
        <v>165</v>
      </c>
      <c r="R134" s="37" t="s">
        <v>219</v>
      </c>
      <c r="S134" s="37" t="s">
        <v>127</v>
      </c>
      <c r="T134" s="37" t="s">
        <v>175</v>
      </c>
      <c r="U134" s="37" t="s">
        <v>128</v>
      </c>
      <c r="V134" s="37" t="s">
        <v>161</v>
      </c>
      <c r="W134" s="37" t="s">
        <v>122</v>
      </c>
      <c r="X134" s="37"/>
      <c r="Y134" s="37"/>
      <c r="Z134" s="37"/>
      <c r="AA134" s="37">
        <v>0.2</v>
      </c>
    </row>
    <row r="135" spans="1:27" x14ac:dyDescent="0.25">
      <c r="A135" s="37" t="s">
        <v>491</v>
      </c>
      <c r="B135" s="37" t="s">
        <v>522</v>
      </c>
      <c r="C135" s="37" t="s">
        <v>523</v>
      </c>
      <c r="D135" s="37" t="s">
        <v>457</v>
      </c>
      <c r="E135" s="37" t="s">
        <v>159</v>
      </c>
      <c r="F135" s="37" t="s">
        <v>524</v>
      </c>
      <c r="G135" s="37" t="s">
        <v>119</v>
      </c>
      <c r="H135" s="37" t="s">
        <v>297</v>
      </c>
      <c r="I135" s="37" t="s">
        <v>525</v>
      </c>
      <c r="J135" s="37" t="s">
        <v>135</v>
      </c>
      <c r="K135" s="37" t="s">
        <v>68</v>
      </c>
      <c r="L135" s="37" t="s">
        <v>122</v>
      </c>
      <c r="M135" s="37" t="s">
        <v>136</v>
      </c>
      <c r="N135" s="37" t="s">
        <v>137</v>
      </c>
      <c r="O135" s="37" t="s">
        <v>122</v>
      </c>
      <c r="P135" s="37"/>
      <c r="Q135" s="37"/>
      <c r="R135" s="37"/>
      <c r="S135" s="37"/>
      <c r="T135" s="37"/>
      <c r="U135" s="37" t="s">
        <v>128</v>
      </c>
      <c r="V135" s="37" t="s">
        <v>137</v>
      </c>
      <c r="W135" s="37" t="s">
        <v>122</v>
      </c>
      <c r="X135" s="37"/>
      <c r="Y135" s="37"/>
      <c r="Z135" s="37"/>
      <c r="AA135" s="37">
        <v>0.2</v>
      </c>
    </row>
    <row r="136" spans="1:27" x14ac:dyDescent="0.25">
      <c r="A136" s="37" t="s">
        <v>496</v>
      </c>
      <c r="B136" s="37" t="s">
        <v>242</v>
      </c>
      <c r="C136" s="37" t="s">
        <v>526</v>
      </c>
      <c r="D136" s="37" t="s">
        <v>178</v>
      </c>
      <c r="E136" s="37" t="s">
        <v>159</v>
      </c>
      <c r="F136" s="37" t="s">
        <v>527</v>
      </c>
      <c r="G136" s="37" t="s">
        <v>119</v>
      </c>
      <c r="H136" s="37" t="s">
        <v>166</v>
      </c>
      <c r="I136" s="37" t="s">
        <v>528</v>
      </c>
      <c r="J136" s="37" t="s">
        <v>121</v>
      </c>
      <c r="K136" s="37" t="s">
        <v>166</v>
      </c>
      <c r="L136" s="37" t="s">
        <v>122</v>
      </c>
      <c r="M136" s="37" t="s">
        <v>136</v>
      </c>
      <c r="N136" s="37" t="s">
        <v>166</v>
      </c>
      <c r="O136" s="37" t="s">
        <v>122</v>
      </c>
      <c r="P136" s="37"/>
      <c r="Q136" s="37"/>
      <c r="R136" s="37"/>
      <c r="S136" s="37"/>
      <c r="T136" s="37"/>
      <c r="U136" s="37" t="s">
        <v>128</v>
      </c>
      <c r="V136" s="37" t="s">
        <v>166</v>
      </c>
      <c r="W136" s="37" t="s">
        <v>122</v>
      </c>
      <c r="X136" s="37"/>
      <c r="Y136" s="37"/>
      <c r="Z136" s="37"/>
      <c r="AA136" s="37">
        <v>0.2</v>
      </c>
    </row>
    <row r="137" spans="1:27" x14ac:dyDescent="0.25">
      <c r="A137" s="37" t="s">
        <v>491</v>
      </c>
      <c r="B137" s="37" t="s">
        <v>529</v>
      </c>
      <c r="C137" s="37" t="s">
        <v>530</v>
      </c>
      <c r="D137" s="37" t="s">
        <v>457</v>
      </c>
      <c r="E137" s="37" t="s">
        <v>159</v>
      </c>
      <c r="F137" s="37" t="s">
        <v>531</v>
      </c>
      <c r="G137" s="37" t="s">
        <v>119</v>
      </c>
      <c r="H137" s="37" t="s">
        <v>297</v>
      </c>
      <c r="I137" s="37" t="s">
        <v>525</v>
      </c>
      <c r="J137" s="37" t="s">
        <v>135</v>
      </c>
      <c r="K137" s="37" t="s">
        <v>68</v>
      </c>
      <c r="L137" s="37" t="s">
        <v>122</v>
      </c>
      <c r="M137" s="37" t="s">
        <v>136</v>
      </c>
      <c r="N137" s="37" t="s">
        <v>137</v>
      </c>
      <c r="O137" s="37" t="s">
        <v>122</v>
      </c>
      <c r="P137" s="37"/>
      <c r="Q137" s="37"/>
      <c r="R137" s="37"/>
      <c r="S137" s="37"/>
      <c r="T137" s="37"/>
      <c r="U137" s="37" t="s">
        <v>128</v>
      </c>
      <c r="V137" s="37" t="s">
        <v>137</v>
      </c>
      <c r="W137" s="37" t="s">
        <v>122</v>
      </c>
      <c r="X137" s="37"/>
      <c r="Y137" s="37"/>
      <c r="Z137" s="37"/>
      <c r="AA137" s="37">
        <v>0.2</v>
      </c>
    </row>
    <row r="138" spans="1:27" x14ac:dyDescent="0.25">
      <c r="A138" s="37" t="s">
        <v>491</v>
      </c>
      <c r="B138" s="37" t="s">
        <v>532</v>
      </c>
      <c r="C138" s="37" t="s">
        <v>533</v>
      </c>
      <c r="D138" s="37" t="s">
        <v>214</v>
      </c>
      <c r="E138" s="37" t="s">
        <v>159</v>
      </c>
      <c r="F138" s="37"/>
      <c r="G138" s="37" t="s">
        <v>119</v>
      </c>
      <c r="H138" s="37" t="s">
        <v>166</v>
      </c>
      <c r="I138" s="37" t="s">
        <v>534</v>
      </c>
      <c r="J138" s="37" t="s">
        <v>121</v>
      </c>
      <c r="K138" s="37" t="s">
        <v>166</v>
      </c>
      <c r="L138" s="37" t="s">
        <v>122</v>
      </c>
      <c r="M138" s="37" t="s">
        <v>136</v>
      </c>
      <c r="N138" s="37" t="s">
        <v>137</v>
      </c>
      <c r="O138" s="37" t="s">
        <v>122</v>
      </c>
      <c r="P138" s="37"/>
      <c r="Q138" s="37"/>
      <c r="R138" s="37"/>
      <c r="S138" s="37"/>
      <c r="T138" s="37"/>
      <c r="U138" s="37" t="s">
        <v>128</v>
      </c>
      <c r="V138" s="37" t="s">
        <v>137</v>
      </c>
      <c r="W138" s="37" t="s">
        <v>122</v>
      </c>
      <c r="X138" s="37"/>
      <c r="Y138" s="37"/>
      <c r="Z138" s="37"/>
      <c r="AA138" s="37">
        <v>0.2</v>
      </c>
    </row>
    <row r="139" spans="1:27" x14ac:dyDescent="0.25">
      <c r="A139" s="37" t="s">
        <v>535</v>
      </c>
      <c r="B139" s="37" t="s">
        <v>156</v>
      </c>
      <c r="C139" s="37" t="s">
        <v>536</v>
      </c>
      <c r="D139" s="37" t="s">
        <v>158</v>
      </c>
      <c r="E139" s="37" t="s">
        <v>297</v>
      </c>
      <c r="F139" s="37"/>
      <c r="G139" s="37" t="s">
        <v>119</v>
      </c>
      <c r="H139" s="37" t="s">
        <v>166</v>
      </c>
      <c r="I139" s="37" t="s">
        <v>537</v>
      </c>
      <c r="J139" s="37" t="s">
        <v>121</v>
      </c>
      <c r="K139" s="37" t="s">
        <v>166</v>
      </c>
      <c r="L139" s="37" t="s">
        <v>122</v>
      </c>
      <c r="M139" s="37" t="s">
        <v>136</v>
      </c>
      <c r="N139" s="37" t="s">
        <v>166</v>
      </c>
      <c r="O139" s="37" t="s">
        <v>122</v>
      </c>
      <c r="P139" s="37"/>
      <c r="Q139" s="37"/>
      <c r="R139" s="37"/>
      <c r="S139" s="37"/>
      <c r="T139" s="37"/>
      <c r="U139" s="37" t="s">
        <v>128</v>
      </c>
      <c r="V139" s="37" t="s">
        <v>166</v>
      </c>
      <c r="W139" s="37" t="s">
        <v>122</v>
      </c>
      <c r="X139" s="37" t="s">
        <v>136</v>
      </c>
      <c r="Y139" s="37" t="s">
        <v>166</v>
      </c>
      <c r="Z139" s="37"/>
      <c r="AA139" s="37">
        <v>0.2</v>
      </c>
    </row>
    <row r="140" spans="1:27" x14ac:dyDescent="0.25">
      <c r="A140" s="37" t="s">
        <v>535</v>
      </c>
      <c r="B140" s="37" t="s">
        <v>130</v>
      </c>
      <c r="C140" s="37" t="s">
        <v>538</v>
      </c>
      <c r="D140" s="37" t="s">
        <v>146</v>
      </c>
      <c r="E140" s="37" t="s">
        <v>297</v>
      </c>
      <c r="F140" s="37"/>
      <c r="G140" s="37" t="s">
        <v>147</v>
      </c>
      <c r="H140" s="37" t="s">
        <v>219</v>
      </c>
      <c r="I140" s="37" t="s">
        <v>148</v>
      </c>
      <c r="J140" s="37" t="s">
        <v>149</v>
      </c>
      <c r="K140" s="37" t="s">
        <v>73</v>
      </c>
      <c r="L140" s="37" t="s">
        <v>122</v>
      </c>
      <c r="M140" s="37" t="s">
        <v>136</v>
      </c>
      <c r="N140" s="37" t="s">
        <v>78</v>
      </c>
      <c r="O140" s="37" t="s">
        <v>122</v>
      </c>
      <c r="P140" s="37"/>
      <c r="Q140" s="37"/>
      <c r="R140" s="37"/>
      <c r="S140" s="37"/>
      <c r="T140" s="37"/>
      <c r="U140" s="37" t="s">
        <v>128</v>
      </c>
      <c r="V140" s="37" t="s">
        <v>78</v>
      </c>
      <c r="W140" s="37" t="s">
        <v>122</v>
      </c>
      <c r="X140" s="37" t="s">
        <v>136</v>
      </c>
      <c r="Y140" s="37" t="s">
        <v>78</v>
      </c>
      <c r="Z140" s="37"/>
      <c r="AA140" s="37">
        <v>0.2</v>
      </c>
    </row>
    <row r="141" spans="1:27" x14ac:dyDescent="0.25">
      <c r="A141" s="37" t="s">
        <v>535</v>
      </c>
      <c r="B141" s="37" t="s">
        <v>115</v>
      </c>
      <c r="C141" s="37" t="s">
        <v>539</v>
      </c>
      <c r="D141" s="37" t="s">
        <v>466</v>
      </c>
      <c r="E141" s="37" t="s">
        <v>297</v>
      </c>
      <c r="F141" s="37"/>
      <c r="G141" s="37" t="s">
        <v>365</v>
      </c>
      <c r="H141" s="37" t="s">
        <v>137</v>
      </c>
      <c r="I141" s="37" t="s">
        <v>148</v>
      </c>
      <c r="J141" s="37" t="s">
        <v>135</v>
      </c>
      <c r="K141" s="37" t="s">
        <v>187</v>
      </c>
      <c r="L141" s="37" t="s">
        <v>122</v>
      </c>
      <c r="M141" s="37" t="s">
        <v>136</v>
      </c>
      <c r="N141" s="37" t="s">
        <v>341</v>
      </c>
      <c r="O141" s="37" t="s">
        <v>122</v>
      </c>
      <c r="P141" s="37" t="s">
        <v>469</v>
      </c>
      <c r="Q141" s="37" t="s">
        <v>125</v>
      </c>
      <c r="R141" s="37" t="s">
        <v>73</v>
      </c>
      <c r="S141" s="37" t="s">
        <v>127</v>
      </c>
      <c r="T141" s="37" t="s">
        <v>127</v>
      </c>
      <c r="U141" s="37" t="s">
        <v>128</v>
      </c>
      <c r="V141" s="37" t="s">
        <v>341</v>
      </c>
      <c r="W141" s="37" t="s">
        <v>122</v>
      </c>
      <c r="X141" s="37" t="s">
        <v>470</v>
      </c>
      <c r="Y141" s="37" t="s">
        <v>78</v>
      </c>
      <c r="Z141" s="37"/>
      <c r="AA141" s="37">
        <v>0.2</v>
      </c>
    </row>
    <row r="142" spans="1:27" x14ac:dyDescent="0.25">
      <c r="A142" s="37" t="s">
        <v>535</v>
      </c>
      <c r="B142" s="37" t="s">
        <v>362</v>
      </c>
      <c r="C142" s="37" t="s">
        <v>540</v>
      </c>
      <c r="D142" s="37" t="s">
        <v>503</v>
      </c>
      <c r="E142" s="37" t="s">
        <v>297</v>
      </c>
      <c r="F142" s="37" t="s">
        <v>541</v>
      </c>
      <c r="G142" s="37" t="s">
        <v>365</v>
      </c>
      <c r="H142" s="37" t="s">
        <v>137</v>
      </c>
      <c r="I142" s="37" t="s">
        <v>468</v>
      </c>
      <c r="J142" s="37" t="s">
        <v>149</v>
      </c>
      <c r="K142" s="37" t="s">
        <v>137</v>
      </c>
      <c r="L142" s="37" t="s">
        <v>122</v>
      </c>
      <c r="M142" s="37" t="s">
        <v>136</v>
      </c>
      <c r="N142" s="37" t="s">
        <v>137</v>
      </c>
      <c r="O142" s="37" t="s">
        <v>122</v>
      </c>
      <c r="P142" s="37" t="s">
        <v>504</v>
      </c>
      <c r="Q142" s="37" t="s">
        <v>440</v>
      </c>
      <c r="R142" s="37" t="s">
        <v>341</v>
      </c>
      <c r="S142" s="37" t="s">
        <v>127</v>
      </c>
      <c r="T142" s="37" t="s">
        <v>127</v>
      </c>
      <c r="U142" s="37" t="s">
        <v>128</v>
      </c>
      <c r="V142" s="37" t="s">
        <v>137</v>
      </c>
      <c r="W142" s="37" t="s">
        <v>122</v>
      </c>
      <c r="X142" s="37"/>
      <c r="Y142" s="37"/>
      <c r="Z142" s="37"/>
      <c r="AA142" s="37">
        <v>0.2</v>
      </c>
    </row>
    <row r="143" spans="1:27" x14ac:dyDescent="0.25">
      <c r="A143" s="37" t="s">
        <v>535</v>
      </c>
      <c r="B143" s="37" t="s">
        <v>448</v>
      </c>
      <c r="C143" s="37" t="s">
        <v>542</v>
      </c>
      <c r="D143" s="37" t="s">
        <v>292</v>
      </c>
      <c r="E143" s="37" t="s">
        <v>297</v>
      </c>
      <c r="F143" s="37"/>
      <c r="G143" s="37" t="s">
        <v>119</v>
      </c>
      <c r="H143" s="37" t="s">
        <v>161</v>
      </c>
      <c r="I143" s="37" t="s">
        <v>543</v>
      </c>
      <c r="J143" s="37" t="s">
        <v>121</v>
      </c>
      <c r="K143" s="37" t="s">
        <v>161</v>
      </c>
      <c r="L143" s="37" t="s">
        <v>122</v>
      </c>
      <c r="M143" s="37" t="s">
        <v>123</v>
      </c>
      <c r="N143" s="37" t="s">
        <v>341</v>
      </c>
      <c r="O143" s="37" t="s">
        <v>122</v>
      </c>
      <c r="P143" s="37"/>
      <c r="Q143" s="37"/>
      <c r="R143" s="37"/>
      <c r="S143" s="37"/>
      <c r="T143" s="37"/>
      <c r="U143" s="37" t="s">
        <v>128</v>
      </c>
      <c r="V143" s="37" t="s">
        <v>341</v>
      </c>
      <c r="W143" s="37" t="s">
        <v>122</v>
      </c>
      <c r="X143" s="37"/>
      <c r="Y143" s="37"/>
      <c r="Z143" s="37"/>
      <c r="AA143" s="37">
        <v>0.2</v>
      </c>
    </row>
    <row r="144" spans="1:27" x14ac:dyDescent="0.25">
      <c r="A144" s="37" t="s">
        <v>544</v>
      </c>
      <c r="B144" s="37" t="s">
        <v>115</v>
      </c>
      <c r="C144" s="37" t="s">
        <v>545</v>
      </c>
      <c r="D144" s="37" t="s">
        <v>117</v>
      </c>
      <c r="E144" s="37" t="s">
        <v>297</v>
      </c>
      <c r="F144" s="37"/>
      <c r="G144" s="37" t="s">
        <v>119</v>
      </c>
      <c r="H144" s="37" t="s">
        <v>137</v>
      </c>
      <c r="I144" s="37" t="s">
        <v>546</v>
      </c>
      <c r="J144" s="37" t="s">
        <v>121</v>
      </c>
      <c r="K144" s="37" t="s">
        <v>161</v>
      </c>
      <c r="L144" s="37" t="s">
        <v>122</v>
      </c>
      <c r="M144" s="37" t="s">
        <v>123</v>
      </c>
      <c r="N144" s="37" t="s">
        <v>161</v>
      </c>
      <c r="O144" s="37" t="s">
        <v>122</v>
      </c>
      <c r="P144" s="37" t="s">
        <v>547</v>
      </c>
      <c r="Q144" s="37" t="s">
        <v>125</v>
      </c>
      <c r="R144" s="37" t="s">
        <v>427</v>
      </c>
      <c r="S144" s="37" t="s">
        <v>127</v>
      </c>
      <c r="T144" s="37" t="s">
        <v>127</v>
      </c>
      <c r="U144" s="37" t="s">
        <v>128</v>
      </c>
      <c r="V144" s="37" t="s">
        <v>161</v>
      </c>
      <c r="W144" s="37" t="s">
        <v>122</v>
      </c>
      <c r="X144" s="37"/>
      <c r="Y144" s="37"/>
      <c r="Z144" s="37"/>
      <c r="AA144" s="37">
        <v>0.2</v>
      </c>
    </row>
    <row r="145" spans="1:27" x14ac:dyDescent="0.25">
      <c r="A145" s="37" t="s">
        <v>548</v>
      </c>
      <c r="B145" s="37" t="s">
        <v>115</v>
      </c>
      <c r="C145" s="37" t="s">
        <v>549</v>
      </c>
      <c r="D145" s="37" t="s">
        <v>466</v>
      </c>
      <c r="E145" s="37" t="s">
        <v>297</v>
      </c>
      <c r="F145" s="37" t="s">
        <v>550</v>
      </c>
      <c r="G145" s="37" t="s">
        <v>365</v>
      </c>
      <c r="H145" s="37" t="s">
        <v>137</v>
      </c>
      <c r="I145" s="37" t="s">
        <v>468</v>
      </c>
      <c r="J145" s="37" t="s">
        <v>135</v>
      </c>
      <c r="K145" s="37" t="s">
        <v>187</v>
      </c>
      <c r="L145" s="37" t="s">
        <v>122</v>
      </c>
      <c r="M145" s="37" t="s">
        <v>136</v>
      </c>
      <c r="N145" s="37" t="s">
        <v>341</v>
      </c>
      <c r="O145" s="37" t="s">
        <v>122</v>
      </c>
      <c r="P145" s="37" t="s">
        <v>469</v>
      </c>
      <c r="Q145" s="37" t="s">
        <v>125</v>
      </c>
      <c r="R145" s="37" t="s">
        <v>73</v>
      </c>
      <c r="S145" s="37" t="s">
        <v>127</v>
      </c>
      <c r="T145" s="37" t="s">
        <v>127</v>
      </c>
      <c r="U145" s="37" t="s">
        <v>128</v>
      </c>
      <c r="V145" s="37" t="s">
        <v>341</v>
      </c>
      <c r="W145" s="37" t="s">
        <v>122</v>
      </c>
      <c r="X145" s="37" t="s">
        <v>470</v>
      </c>
      <c r="Y145" s="37" t="s">
        <v>78</v>
      </c>
      <c r="Z145" s="37"/>
      <c r="AA145" s="37">
        <v>0.2</v>
      </c>
    </row>
    <row r="146" spans="1:27" x14ac:dyDescent="0.25">
      <c r="A146" s="37" t="s">
        <v>548</v>
      </c>
      <c r="B146" s="37" t="s">
        <v>362</v>
      </c>
      <c r="C146" s="37" t="s">
        <v>551</v>
      </c>
      <c r="D146" s="37" t="s">
        <v>503</v>
      </c>
      <c r="E146" s="37" t="s">
        <v>297</v>
      </c>
      <c r="F146" s="37" t="s">
        <v>552</v>
      </c>
      <c r="G146" s="37" t="s">
        <v>365</v>
      </c>
      <c r="H146" s="37" t="s">
        <v>137</v>
      </c>
      <c r="I146" s="37" t="s">
        <v>468</v>
      </c>
      <c r="J146" s="37" t="s">
        <v>149</v>
      </c>
      <c r="K146" s="37" t="s">
        <v>137</v>
      </c>
      <c r="L146" s="37" t="s">
        <v>122</v>
      </c>
      <c r="M146" s="37" t="s">
        <v>136</v>
      </c>
      <c r="N146" s="37" t="s">
        <v>137</v>
      </c>
      <c r="O146" s="37" t="s">
        <v>122</v>
      </c>
      <c r="P146" s="37" t="s">
        <v>504</v>
      </c>
      <c r="Q146" s="37" t="s">
        <v>440</v>
      </c>
      <c r="R146" s="37" t="s">
        <v>341</v>
      </c>
      <c r="S146" s="37" t="s">
        <v>127</v>
      </c>
      <c r="T146" s="37" t="s">
        <v>127</v>
      </c>
      <c r="U146" s="37" t="s">
        <v>128</v>
      </c>
      <c r="V146" s="37" t="s">
        <v>137</v>
      </c>
      <c r="W146" s="37" t="s">
        <v>122</v>
      </c>
      <c r="X146" s="37"/>
      <c r="Y146" s="37"/>
      <c r="Z146" s="37"/>
      <c r="AA146" s="37">
        <v>0.2</v>
      </c>
    </row>
    <row r="147" spans="1:27" x14ac:dyDescent="0.25">
      <c r="A147" s="37" t="s">
        <v>548</v>
      </c>
      <c r="B147" s="37" t="s">
        <v>167</v>
      </c>
      <c r="C147" s="37" t="s">
        <v>553</v>
      </c>
      <c r="D147" s="37" t="s">
        <v>169</v>
      </c>
      <c r="E147" s="37" t="s">
        <v>297</v>
      </c>
      <c r="F147" s="37" t="s">
        <v>554</v>
      </c>
      <c r="G147" s="37" t="s">
        <v>119</v>
      </c>
      <c r="H147" s="37" t="s">
        <v>68</v>
      </c>
      <c r="I147" s="37" t="s">
        <v>555</v>
      </c>
      <c r="J147" s="37" t="s">
        <v>149</v>
      </c>
      <c r="K147" s="37" t="s">
        <v>161</v>
      </c>
      <c r="L147" s="37" t="s">
        <v>374</v>
      </c>
      <c r="M147" s="37" t="s">
        <v>136</v>
      </c>
      <c r="N147" s="37" t="s">
        <v>187</v>
      </c>
      <c r="O147" s="37" t="s">
        <v>122</v>
      </c>
      <c r="P147" s="37" t="s">
        <v>218</v>
      </c>
      <c r="Q147" s="37" t="s">
        <v>174</v>
      </c>
      <c r="R147" s="37" t="s">
        <v>219</v>
      </c>
      <c r="S147" s="37" t="s">
        <v>127</v>
      </c>
      <c r="T147" s="37" t="s">
        <v>175</v>
      </c>
      <c r="U147" s="37" t="s">
        <v>128</v>
      </c>
      <c r="V147" s="37" t="s">
        <v>187</v>
      </c>
      <c r="W147" s="37" t="s">
        <v>122</v>
      </c>
      <c r="X147" s="37"/>
      <c r="Y147" s="37"/>
      <c r="Z147" s="37"/>
      <c r="AA147" s="37">
        <v>0.2</v>
      </c>
    </row>
    <row r="148" spans="1:27" x14ac:dyDescent="0.25">
      <c r="A148" s="37" t="s">
        <v>535</v>
      </c>
      <c r="B148" s="37" t="s">
        <v>380</v>
      </c>
      <c r="C148" s="37" t="s">
        <v>556</v>
      </c>
      <c r="D148" s="37" t="s">
        <v>435</v>
      </c>
      <c r="E148" s="37" t="s">
        <v>297</v>
      </c>
      <c r="F148" s="37"/>
      <c r="G148" s="37" t="s">
        <v>119</v>
      </c>
      <c r="H148" s="37" t="s">
        <v>68</v>
      </c>
      <c r="I148" s="37" t="s">
        <v>557</v>
      </c>
      <c r="J148" s="37" t="s">
        <v>135</v>
      </c>
      <c r="K148" s="37" t="s">
        <v>68</v>
      </c>
      <c r="L148" s="37" t="s">
        <v>122</v>
      </c>
      <c r="M148" s="37" t="s">
        <v>136</v>
      </c>
      <c r="N148" s="37" t="s">
        <v>137</v>
      </c>
      <c r="O148" s="37" t="s">
        <v>122</v>
      </c>
      <c r="P148" s="37"/>
      <c r="Q148" s="37"/>
      <c r="R148" s="37"/>
      <c r="S148" s="37"/>
      <c r="T148" s="37"/>
      <c r="U148" s="37" t="s">
        <v>128</v>
      </c>
      <c r="V148" s="37" t="s">
        <v>137</v>
      </c>
      <c r="W148" s="37" t="s">
        <v>122</v>
      </c>
      <c r="X148" s="37"/>
      <c r="Y148" s="37"/>
      <c r="Z148" s="37"/>
      <c r="AA148" s="37">
        <v>0.2</v>
      </c>
    </row>
    <row r="149" spans="1:27" x14ac:dyDescent="0.25">
      <c r="A149" s="37" t="s">
        <v>548</v>
      </c>
      <c r="B149" s="37" t="s">
        <v>380</v>
      </c>
      <c r="C149" s="37" t="s">
        <v>558</v>
      </c>
      <c r="D149" s="37" t="s">
        <v>435</v>
      </c>
      <c r="E149" s="37" t="s">
        <v>297</v>
      </c>
      <c r="F149" s="37"/>
      <c r="G149" s="37" t="s">
        <v>119</v>
      </c>
      <c r="H149" s="37" t="s">
        <v>68</v>
      </c>
      <c r="I149" s="37" t="s">
        <v>204</v>
      </c>
      <c r="J149" s="37" t="s">
        <v>135</v>
      </c>
      <c r="K149" s="37" t="s">
        <v>68</v>
      </c>
      <c r="L149" s="37" t="s">
        <v>122</v>
      </c>
      <c r="M149" s="37" t="s">
        <v>136</v>
      </c>
      <c r="N149" s="37" t="s">
        <v>137</v>
      </c>
      <c r="O149" s="37" t="s">
        <v>122</v>
      </c>
      <c r="P149" s="37"/>
      <c r="Q149" s="37"/>
      <c r="R149" s="37"/>
      <c r="S149" s="37"/>
      <c r="T149" s="37"/>
      <c r="U149" s="37" t="s">
        <v>128</v>
      </c>
      <c r="V149" s="37" t="s">
        <v>137</v>
      </c>
      <c r="W149" s="37" t="s">
        <v>122</v>
      </c>
      <c r="X149" s="37"/>
      <c r="Y149" s="37"/>
      <c r="Z149" s="37"/>
      <c r="AA149" s="37">
        <v>0.2</v>
      </c>
    </row>
    <row r="150" spans="1:27" x14ac:dyDescent="0.25">
      <c r="A150" s="37" t="s">
        <v>544</v>
      </c>
      <c r="B150" s="37" t="s">
        <v>362</v>
      </c>
      <c r="C150" s="37" t="s">
        <v>559</v>
      </c>
      <c r="D150" s="37" t="s">
        <v>503</v>
      </c>
      <c r="E150" s="37" t="s">
        <v>297</v>
      </c>
      <c r="F150" s="37"/>
      <c r="G150" s="37" t="s">
        <v>365</v>
      </c>
      <c r="H150" s="37" t="s">
        <v>137</v>
      </c>
      <c r="I150" s="37" t="s">
        <v>148</v>
      </c>
      <c r="J150" s="37" t="s">
        <v>149</v>
      </c>
      <c r="K150" s="37" t="s">
        <v>137</v>
      </c>
      <c r="L150" s="37" t="s">
        <v>122</v>
      </c>
      <c r="M150" s="37" t="s">
        <v>136</v>
      </c>
      <c r="N150" s="37" t="s">
        <v>137</v>
      </c>
      <c r="O150" s="37" t="s">
        <v>122</v>
      </c>
      <c r="P150" s="37" t="s">
        <v>504</v>
      </c>
      <c r="Q150" s="37" t="s">
        <v>440</v>
      </c>
      <c r="R150" s="37" t="s">
        <v>341</v>
      </c>
      <c r="S150" s="37" t="s">
        <v>127</v>
      </c>
      <c r="T150" s="37" t="s">
        <v>127</v>
      </c>
      <c r="U150" s="37" t="s">
        <v>128</v>
      </c>
      <c r="V150" s="37" t="s">
        <v>137</v>
      </c>
      <c r="W150" s="37" t="s">
        <v>122</v>
      </c>
      <c r="X150" s="37"/>
      <c r="Y150" s="37"/>
      <c r="Z150" s="37"/>
      <c r="AA150" s="37">
        <v>0.2</v>
      </c>
    </row>
    <row r="151" spans="1:27" x14ac:dyDescent="0.25">
      <c r="A151" s="37" t="s">
        <v>560</v>
      </c>
      <c r="B151" s="37" t="s">
        <v>362</v>
      </c>
      <c r="C151" s="37" t="s">
        <v>561</v>
      </c>
      <c r="D151" s="37" t="s">
        <v>123</v>
      </c>
      <c r="E151" s="37" t="s">
        <v>297</v>
      </c>
      <c r="F151" s="37" t="s">
        <v>562</v>
      </c>
      <c r="G151" s="37" t="s">
        <v>365</v>
      </c>
      <c r="H151" s="37" t="s">
        <v>297</v>
      </c>
      <c r="I151" s="37" t="s">
        <v>563</v>
      </c>
      <c r="J151" s="37" t="s">
        <v>149</v>
      </c>
      <c r="K151" s="37" t="s">
        <v>297</v>
      </c>
      <c r="L151" s="37" t="s">
        <v>122</v>
      </c>
      <c r="M151" s="37" t="s">
        <v>136</v>
      </c>
      <c r="N151" s="37" t="s">
        <v>297</v>
      </c>
      <c r="O151" s="37" t="s">
        <v>122</v>
      </c>
      <c r="P151" s="37" t="s">
        <v>564</v>
      </c>
      <c r="Q151" s="37" t="s">
        <v>440</v>
      </c>
      <c r="R151" s="37" t="s">
        <v>166</v>
      </c>
      <c r="S151" s="37" t="s">
        <v>127</v>
      </c>
      <c r="T151" s="37" t="s">
        <v>127</v>
      </c>
      <c r="U151" s="37" t="s">
        <v>128</v>
      </c>
      <c r="V151" s="37" t="s">
        <v>297</v>
      </c>
      <c r="W151" s="37" t="s">
        <v>122</v>
      </c>
      <c r="X151" s="37" t="s">
        <v>123</v>
      </c>
      <c r="Y151" s="37" t="s">
        <v>166</v>
      </c>
      <c r="Z151" s="37"/>
      <c r="AA151" s="37">
        <v>0.2</v>
      </c>
    </row>
    <row r="152" spans="1:27" x14ac:dyDescent="0.25">
      <c r="A152" s="37" t="s">
        <v>535</v>
      </c>
      <c r="B152" s="37" t="s">
        <v>529</v>
      </c>
      <c r="C152" s="37" t="s">
        <v>565</v>
      </c>
      <c r="D152" s="37" t="s">
        <v>149</v>
      </c>
      <c r="E152" s="37" t="s">
        <v>297</v>
      </c>
      <c r="F152" s="37" t="s">
        <v>566</v>
      </c>
      <c r="G152" s="37" t="s">
        <v>119</v>
      </c>
      <c r="H152" s="37" t="s">
        <v>297</v>
      </c>
      <c r="I152" s="37" t="s">
        <v>567</v>
      </c>
      <c r="J152" s="37" t="s">
        <v>135</v>
      </c>
      <c r="K152" s="37" t="s">
        <v>297</v>
      </c>
      <c r="L152" s="37" t="s">
        <v>122</v>
      </c>
      <c r="M152" s="37" t="s">
        <v>123</v>
      </c>
      <c r="N152" s="37" t="s">
        <v>187</v>
      </c>
      <c r="O152" s="37" t="s">
        <v>122</v>
      </c>
      <c r="P152" s="37"/>
      <c r="Q152" s="37"/>
      <c r="R152" s="37"/>
      <c r="S152" s="37"/>
      <c r="T152" s="37"/>
      <c r="U152" s="37" t="s">
        <v>128</v>
      </c>
      <c r="V152" s="37" t="s">
        <v>187</v>
      </c>
      <c r="W152" s="37" t="s">
        <v>122</v>
      </c>
      <c r="X152" s="37"/>
      <c r="Y152" s="37"/>
      <c r="Z152" s="37"/>
      <c r="AA152" s="37">
        <v>0.2</v>
      </c>
    </row>
    <row r="153" spans="1:27" x14ac:dyDescent="0.25">
      <c r="A153" s="37" t="s">
        <v>535</v>
      </c>
      <c r="B153" s="37" t="s">
        <v>205</v>
      </c>
      <c r="C153" s="37" t="s">
        <v>568</v>
      </c>
      <c r="D153" s="37" t="s">
        <v>158</v>
      </c>
      <c r="E153" s="37" t="s">
        <v>297</v>
      </c>
      <c r="F153" s="37"/>
      <c r="G153" s="37" t="s">
        <v>119</v>
      </c>
      <c r="H153" s="37" t="s">
        <v>137</v>
      </c>
      <c r="I153" s="37" t="s">
        <v>569</v>
      </c>
      <c r="J153" s="37" t="s">
        <v>135</v>
      </c>
      <c r="K153" s="37" t="s">
        <v>137</v>
      </c>
      <c r="L153" s="37" t="s">
        <v>122</v>
      </c>
      <c r="M153" s="37" t="s">
        <v>136</v>
      </c>
      <c r="N153" s="37" t="s">
        <v>166</v>
      </c>
      <c r="O153" s="37" t="s">
        <v>374</v>
      </c>
      <c r="P153" s="37"/>
      <c r="Q153" s="37"/>
      <c r="R153" s="37"/>
      <c r="S153" s="37"/>
      <c r="T153" s="37"/>
      <c r="U153" s="37" t="s">
        <v>128</v>
      </c>
      <c r="V153" s="37" t="s">
        <v>166</v>
      </c>
      <c r="W153" s="37" t="s">
        <v>122</v>
      </c>
      <c r="X153" s="37"/>
      <c r="Y153" s="37"/>
      <c r="Z153" s="37"/>
      <c r="AA153" s="37">
        <v>0.2</v>
      </c>
    </row>
    <row r="154" spans="1:27" x14ac:dyDescent="0.25">
      <c r="A154" s="37" t="s">
        <v>544</v>
      </c>
      <c r="B154" s="37" t="s">
        <v>167</v>
      </c>
      <c r="C154" s="37" t="s">
        <v>570</v>
      </c>
      <c r="D154" s="37" t="s">
        <v>214</v>
      </c>
      <c r="E154" s="37" t="s">
        <v>297</v>
      </c>
      <c r="F154" s="37"/>
      <c r="G154" s="37" t="s">
        <v>119</v>
      </c>
      <c r="H154" s="37" t="s">
        <v>166</v>
      </c>
      <c r="I154" s="37" t="s">
        <v>571</v>
      </c>
      <c r="J154" s="37" t="s">
        <v>121</v>
      </c>
      <c r="K154" s="37" t="s">
        <v>166</v>
      </c>
      <c r="L154" s="37" t="s">
        <v>122</v>
      </c>
      <c r="M154" s="37" t="s">
        <v>136</v>
      </c>
      <c r="N154" s="37" t="s">
        <v>137</v>
      </c>
      <c r="O154" s="37" t="s">
        <v>122</v>
      </c>
      <c r="P154" s="37" t="s">
        <v>218</v>
      </c>
      <c r="Q154" s="37" t="s">
        <v>174</v>
      </c>
      <c r="R154" s="37" t="s">
        <v>219</v>
      </c>
      <c r="S154" s="37" t="s">
        <v>127</v>
      </c>
      <c r="T154" s="37" t="s">
        <v>127</v>
      </c>
      <c r="U154" s="37" t="s">
        <v>128</v>
      </c>
      <c r="V154" s="37" t="s">
        <v>137</v>
      </c>
      <c r="W154" s="37" t="s">
        <v>122</v>
      </c>
      <c r="X154" s="37"/>
      <c r="Y154" s="37"/>
      <c r="Z154" s="37"/>
      <c r="AA154" s="37">
        <v>0.2</v>
      </c>
    </row>
    <row r="155" spans="1:27" x14ac:dyDescent="0.25">
      <c r="A155" s="37" t="s">
        <v>548</v>
      </c>
      <c r="B155" s="37" t="s">
        <v>130</v>
      </c>
      <c r="C155" s="37" t="s">
        <v>572</v>
      </c>
      <c r="D155" s="37" t="s">
        <v>132</v>
      </c>
      <c r="E155" s="37" t="s">
        <v>297</v>
      </c>
      <c r="F155" s="37"/>
      <c r="G155" s="37" t="s">
        <v>119</v>
      </c>
      <c r="H155" s="37" t="s">
        <v>318</v>
      </c>
      <c r="I155" s="37" t="s">
        <v>573</v>
      </c>
      <c r="J155" s="37" t="s">
        <v>135</v>
      </c>
      <c r="K155" s="37" t="s">
        <v>89</v>
      </c>
      <c r="L155" s="37" t="s">
        <v>122</v>
      </c>
      <c r="M155" s="37" t="s">
        <v>136</v>
      </c>
      <c r="N155" s="37" t="s">
        <v>89</v>
      </c>
      <c r="O155" s="37" t="s">
        <v>122</v>
      </c>
      <c r="P155" s="37"/>
      <c r="Q155" s="37"/>
      <c r="R155" s="37"/>
      <c r="S155" s="37"/>
      <c r="T155" s="37"/>
      <c r="U155" s="37" t="s">
        <v>128</v>
      </c>
      <c r="V155" s="37" t="s">
        <v>89</v>
      </c>
      <c r="W155" s="37" t="s">
        <v>122</v>
      </c>
      <c r="X155" s="37"/>
      <c r="Y155" s="37"/>
      <c r="Z155" s="37"/>
      <c r="AA155" s="37">
        <v>0.2</v>
      </c>
    </row>
    <row r="156" spans="1:27" x14ac:dyDescent="0.25">
      <c r="A156" s="37" t="s">
        <v>560</v>
      </c>
      <c r="B156" s="37" t="s">
        <v>115</v>
      </c>
      <c r="C156" s="37" t="s">
        <v>574</v>
      </c>
      <c r="D156" s="37" t="s">
        <v>390</v>
      </c>
      <c r="E156" s="37" t="s">
        <v>297</v>
      </c>
      <c r="F156" s="37"/>
      <c r="G156" s="37" t="s">
        <v>119</v>
      </c>
      <c r="H156" s="37" t="s">
        <v>297</v>
      </c>
      <c r="I156" s="37" t="s">
        <v>575</v>
      </c>
      <c r="J156" s="37" t="s">
        <v>135</v>
      </c>
      <c r="K156" s="37" t="s">
        <v>297</v>
      </c>
      <c r="L156" s="37" t="s">
        <v>122</v>
      </c>
      <c r="M156" s="37" t="s">
        <v>136</v>
      </c>
      <c r="N156" s="37" t="s">
        <v>64</v>
      </c>
      <c r="O156" s="37" t="s">
        <v>122</v>
      </c>
      <c r="P156" s="37" t="s">
        <v>392</v>
      </c>
      <c r="Q156" s="37" t="s">
        <v>125</v>
      </c>
      <c r="R156" s="37" t="s">
        <v>68</v>
      </c>
      <c r="S156" s="37" t="s">
        <v>127</v>
      </c>
      <c r="T156" s="37" t="s">
        <v>127</v>
      </c>
      <c r="U156" s="37" t="s">
        <v>128</v>
      </c>
      <c r="V156" s="37" t="s">
        <v>64</v>
      </c>
      <c r="W156" s="37" t="s">
        <v>122</v>
      </c>
      <c r="X156" s="37"/>
      <c r="Y156" s="37"/>
      <c r="Z156" s="37"/>
      <c r="AA156" s="37">
        <v>0.2</v>
      </c>
    </row>
    <row r="157" spans="1:27" x14ac:dyDescent="0.25">
      <c r="A157" s="37" t="s">
        <v>535</v>
      </c>
      <c r="B157" s="37" t="s">
        <v>167</v>
      </c>
      <c r="C157" s="37" t="s">
        <v>576</v>
      </c>
      <c r="D157" s="37" t="s">
        <v>169</v>
      </c>
      <c r="E157" s="37" t="s">
        <v>297</v>
      </c>
      <c r="F157" s="37" t="s">
        <v>577</v>
      </c>
      <c r="G157" s="37" t="s">
        <v>119</v>
      </c>
      <c r="H157" s="37" t="s">
        <v>68</v>
      </c>
      <c r="I157" s="37" t="s">
        <v>578</v>
      </c>
      <c r="J157" s="37" t="s">
        <v>149</v>
      </c>
      <c r="K157" s="37" t="s">
        <v>161</v>
      </c>
      <c r="L157" s="37" t="s">
        <v>122</v>
      </c>
      <c r="M157" s="37" t="s">
        <v>136</v>
      </c>
      <c r="N157" s="37" t="s">
        <v>187</v>
      </c>
      <c r="O157" s="37" t="s">
        <v>122</v>
      </c>
      <c r="P157" s="37" t="s">
        <v>218</v>
      </c>
      <c r="Q157" s="37" t="s">
        <v>174</v>
      </c>
      <c r="R157" s="37" t="s">
        <v>219</v>
      </c>
      <c r="S157" s="37" t="s">
        <v>127</v>
      </c>
      <c r="T157" s="37" t="s">
        <v>175</v>
      </c>
      <c r="U157" s="37" t="s">
        <v>128</v>
      </c>
      <c r="V157" s="37" t="s">
        <v>187</v>
      </c>
      <c r="W157" s="37" t="s">
        <v>122</v>
      </c>
      <c r="X157" s="37"/>
      <c r="Y157" s="37"/>
      <c r="Z157" s="37"/>
      <c r="AA157" s="37">
        <v>0.2</v>
      </c>
    </row>
    <row r="158" spans="1:27" x14ac:dyDescent="0.25">
      <c r="A158" s="37" t="s">
        <v>579</v>
      </c>
      <c r="B158" s="37" t="s">
        <v>115</v>
      </c>
      <c r="C158" s="37" t="s">
        <v>580</v>
      </c>
      <c r="D158" s="37" t="s">
        <v>390</v>
      </c>
      <c r="E158" s="37" t="s">
        <v>297</v>
      </c>
      <c r="F158" s="37"/>
      <c r="G158" s="37" t="s">
        <v>119</v>
      </c>
      <c r="H158" s="37" t="s">
        <v>297</v>
      </c>
      <c r="I158" s="37" t="s">
        <v>581</v>
      </c>
      <c r="J158" s="37" t="s">
        <v>135</v>
      </c>
      <c r="K158" s="37" t="s">
        <v>297</v>
      </c>
      <c r="L158" s="37" t="s">
        <v>122</v>
      </c>
      <c r="M158" s="37" t="s">
        <v>136</v>
      </c>
      <c r="N158" s="37" t="s">
        <v>64</v>
      </c>
      <c r="O158" s="37" t="s">
        <v>122</v>
      </c>
      <c r="P158" s="37" t="s">
        <v>392</v>
      </c>
      <c r="Q158" s="37" t="s">
        <v>125</v>
      </c>
      <c r="R158" s="37" t="s">
        <v>68</v>
      </c>
      <c r="S158" s="37" t="s">
        <v>127</v>
      </c>
      <c r="T158" s="37" t="s">
        <v>127</v>
      </c>
      <c r="U158" s="37" t="s">
        <v>128</v>
      </c>
      <c r="V158" s="37" t="s">
        <v>64</v>
      </c>
      <c r="W158" s="37" t="s">
        <v>122</v>
      </c>
      <c r="X158" s="37"/>
      <c r="Y158" s="37"/>
      <c r="Z158" s="37"/>
      <c r="AA158" s="37">
        <v>0.2</v>
      </c>
    </row>
    <row r="159" spans="1:27" x14ac:dyDescent="0.25">
      <c r="A159" s="37" t="s">
        <v>582</v>
      </c>
      <c r="B159" s="37" t="s">
        <v>162</v>
      </c>
      <c r="C159" s="37" t="s">
        <v>583</v>
      </c>
      <c r="D159" s="37" t="s">
        <v>117</v>
      </c>
      <c r="E159" s="37" t="s">
        <v>166</v>
      </c>
      <c r="F159" s="37"/>
      <c r="G159" s="37" t="s">
        <v>119</v>
      </c>
      <c r="H159" s="37" t="s">
        <v>137</v>
      </c>
      <c r="I159" s="37" t="s">
        <v>584</v>
      </c>
      <c r="J159" s="37" t="s">
        <v>121</v>
      </c>
      <c r="K159" s="37" t="s">
        <v>161</v>
      </c>
      <c r="L159" s="37" t="s">
        <v>122</v>
      </c>
      <c r="M159" s="37" t="s">
        <v>123</v>
      </c>
      <c r="N159" s="37" t="s">
        <v>161</v>
      </c>
      <c r="O159" s="37" t="s">
        <v>122</v>
      </c>
      <c r="P159" s="37" t="s">
        <v>510</v>
      </c>
      <c r="Q159" s="37" t="s">
        <v>165</v>
      </c>
      <c r="R159" s="37" t="s">
        <v>219</v>
      </c>
      <c r="S159" s="37" t="s">
        <v>127</v>
      </c>
      <c r="T159" s="37" t="s">
        <v>175</v>
      </c>
      <c r="U159" s="37" t="s">
        <v>128</v>
      </c>
      <c r="V159" s="37" t="s">
        <v>161</v>
      </c>
      <c r="W159" s="37" t="s">
        <v>122</v>
      </c>
      <c r="X159" s="37"/>
      <c r="Y159" s="37"/>
      <c r="Z159" s="37"/>
      <c r="AA159" s="37">
        <v>0.2</v>
      </c>
    </row>
    <row r="160" spans="1:27" x14ac:dyDescent="0.25">
      <c r="A160" s="37" t="s">
        <v>582</v>
      </c>
      <c r="B160" s="37" t="s">
        <v>115</v>
      </c>
      <c r="C160" s="37" t="s">
        <v>585</v>
      </c>
      <c r="D160" s="37" t="s">
        <v>466</v>
      </c>
      <c r="E160" s="37" t="s">
        <v>166</v>
      </c>
      <c r="F160" s="37"/>
      <c r="G160" s="37" t="s">
        <v>365</v>
      </c>
      <c r="H160" s="37" t="s">
        <v>137</v>
      </c>
      <c r="I160" s="37" t="s">
        <v>148</v>
      </c>
      <c r="J160" s="37" t="s">
        <v>135</v>
      </c>
      <c r="K160" s="37" t="s">
        <v>187</v>
      </c>
      <c r="L160" s="37" t="s">
        <v>122</v>
      </c>
      <c r="M160" s="37" t="s">
        <v>136</v>
      </c>
      <c r="N160" s="37" t="s">
        <v>341</v>
      </c>
      <c r="O160" s="37" t="s">
        <v>122</v>
      </c>
      <c r="P160" s="37" t="s">
        <v>469</v>
      </c>
      <c r="Q160" s="37" t="s">
        <v>125</v>
      </c>
      <c r="R160" s="37" t="s">
        <v>73</v>
      </c>
      <c r="S160" s="37" t="s">
        <v>127</v>
      </c>
      <c r="T160" s="37" t="s">
        <v>127</v>
      </c>
      <c r="U160" s="37" t="s">
        <v>128</v>
      </c>
      <c r="V160" s="37" t="s">
        <v>341</v>
      </c>
      <c r="W160" s="37" t="s">
        <v>122</v>
      </c>
      <c r="X160" s="37" t="s">
        <v>470</v>
      </c>
      <c r="Y160" s="37" t="s">
        <v>78</v>
      </c>
      <c r="Z160" s="37"/>
      <c r="AA160" s="37">
        <v>0.2</v>
      </c>
    </row>
    <row r="161" spans="1:27" x14ac:dyDescent="0.25">
      <c r="A161" s="37" t="s">
        <v>582</v>
      </c>
      <c r="B161" s="37" t="s">
        <v>362</v>
      </c>
      <c r="C161" s="37" t="s">
        <v>586</v>
      </c>
      <c r="D161" s="37" t="s">
        <v>503</v>
      </c>
      <c r="E161" s="37" t="s">
        <v>166</v>
      </c>
      <c r="F161" s="37"/>
      <c r="G161" s="37" t="s">
        <v>365</v>
      </c>
      <c r="H161" s="37" t="s">
        <v>137</v>
      </c>
      <c r="I161" s="37" t="s">
        <v>148</v>
      </c>
      <c r="J161" s="37" t="s">
        <v>149</v>
      </c>
      <c r="K161" s="37" t="s">
        <v>137</v>
      </c>
      <c r="L161" s="37" t="s">
        <v>122</v>
      </c>
      <c r="M161" s="37" t="s">
        <v>136</v>
      </c>
      <c r="N161" s="37" t="s">
        <v>137</v>
      </c>
      <c r="O161" s="37" t="s">
        <v>122</v>
      </c>
      <c r="P161" s="37"/>
      <c r="Q161" s="37"/>
      <c r="R161" s="37"/>
      <c r="S161" s="37"/>
      <c r="T161" s="37"/>
      <c r="U161" s="37" t="s">
        <v>128</v>
      </c>
      <c r="V161" s="37" t="s">
        <v>137</v>
      </c>
      <c r="W161" s="37" t="s">
        <v>122</v>
      </c>
      <c r="X161" s="37"/>
      <c r="Y161" s="37"/>
      <c r="Z161" s="37"/>
      <c r="AA161" s="37">
        <v>0.2</v>
      </c>
    </row>
    <row r="162" spans="1:27" x14ac:dyDescent="0.25">
      <c r="A162" s="37" t="s">
        <v>587</v>
      </c>
      <c r="B162" s="37" t="s">
        <v>115</v>
      </c>
      <c r="C162" s="37" t="s">
        <v>588</v>
      </c>
      <c r="D162" s="37" t="s">
        <v>121</v>
      </c>
      <c r="E162" s="37" t="s">
        <v>166</v>
      </c>
      <c r="F162" s="37"/>
      <c r="G162" s="37" t="s">
        <v>350</v>
      </c>
      <c r="H162" s="37" t="s">
        <v>73</v>
      </c>
      <c r="I162" s="37" t="s">
        <v>589</v>
      </c>
      <c r="J162" s="37" t="s">
        <v>149</v>
      </c>
      <c r="K162" s="37" t="s">
        <v>73</v>
      </c>
      <c r="L162" s="37" t="s">
        <v>122</v>
      </c>
      <c r="M162" s="37" t="s">
        <v>123</v>
      </c>
      <c r="N162" s="37" t="s">
        <v>78</v>
      </c>
      <c r="O162" s="37" t="s">
        <v>122</v>
      </c>
      <c r="P162" s="37" t="s">
        <v>547</v>
      </c>
      <c r="Q162" s="37" t="s">
        <v>353</v>
      </c>
      <c r="R162" s="37" t="s">
        <v>427</v>
      </c>
      <c r="S162" s="37" t="s">
        <v>127</v>
      </c>
      <c r="T162" s="37" t="s">
        <v>127</v>
      </c>
      <c r="U162" s="37" t="s">
        <v>128</v>
      </c>
      <c r="V162" s="37" t="s">
        <v>78</v>
      </c>
      <c r="W162" s="37" t="s">
        <v>122</v>
      </c>
      <c r="X162" s="37" t="s">
        <v>123</v>
      </c>
      <c r="Y162" s="37" t="s">
        <v>427</v>
      </c>
      <c r="Z162" s="37"/>
      <c r="AA162" s="37">
        <v>0.2</v>
      </c>
    </row>
    <row r="163" spans="1:27" x14ac:dyDescent="0.25">
      <c r="A163" s="37" t="s">
        <v>582</v>
      </c>
      <c r="B163" s="37" t="s">
        <v>303</v>
      </c>
      <c r="C163" s="37" t="s">
        <v>590</v>
      </c>
      <c r="D163" s="37" t="s">
        <v>292</v>
      </c>
      <c r="E163" s="37" t="s">
        <v>166</v>
      </c>
      <c r="F163" s="37"/>
      <c r="G163" s="37" t="s">
        <v>119</v>
      </c>
      <c r="H163" s="37" t="s">
        <v>161</v>
      </c>
      <c r="I163" s="37" t="s">
        <v>591</v>
      </c>
      <c r="J163" s="37" t="s">
        <v>121</v>
      </c>
      <c r="K163" s="37" t="s">
        <v>161</v>
      </c>
      <c r="L163" s="37" t="s">
        <v>122</v>
      </c>
      <c r="M163" s="37" t="s">
        <v>123</v>
      </c>
      <c r="N163" s="37" t="s">
        <v>341</v>
      </c>
      <c r="O163" s="37" t="s">
        <v>122</v>
      </c>
      <c r="P163" s="37"/>
      <c r="Q163" s="37"/>
      <c r="R163" s="37"/>
      <c r="S163" s="37"/>
      <c r="T163" s="37"/>
      <c r="U163" s="37" t="s">
        <v>128</v>
      </c>
      <c r="V163" s="37" t="s">
        <v>341</v>
      </c>
      <c r="W163" s="37" t="s">
        <v>122</v>
      </c>
      <c r="X163" s="37"/>
      <c r="Y163" s="37"/>
      <c r="Z163" s="37"/>
      <c r="AA163" s="37">
        <v>0.2</v>
      </c>
    </row>
    <row r="164" spans="1:27" x14ac:dyDescent="0.25">
      <c r="A164" s="37" t="s">
        <v>592</v>
      </c>
      <c r="B164" s="37" t="s">
        <v>115</v>
      </c>
      <c r="C164" s="37" t="s">
        <v>593</v>
      </c>
      <c r="D164" s="37" t="s">
        <v>117</v>
      </c>
      <c r="E164" s="37" t="s">
        <v>166</v>
      </c>
      <c r="F164" s="37"/>
      <c r="G164" s="37" t="s">
        <v>119</v>
      </c>
      <c r="H164" s="37" t="s">
        <v>137</v>
      </c>
      <c r="I164" s="37" t="s">
        <v>594</v>
      </c>
      <c r="J164" s="37" t="s">
        <v>121</v>
      </c>
      <c r="K164" s="37" t="s">
        <v>161</v>
      </c>
      <c r="L164" s="37" t="s">
        <v>122</v>
      </c>
      <c r="M164" s="37" t="s">
        <v>123</v>
      </c>
      <c r="N164" s="37" t="s">
        <v>161</v>
      </c>
      <c r="O164" s="37" t="s">
        <v>122</v>
      </c>
      <c r="P164" s="37" t="s">
        <v>547</v>
      </c>
      <c r="Q164" s="37" t="s">
        <v>125</v>
      </c>
      <c r="R164" s="37" t="s">
        <v>427</v>
      </c>
      <c r="S164" s="37" t="s">
        <v>127</v>
      </c>
      <c r="T164" s="37" t="s">
        <v>127</v>
      </c>
      <c r="U164" s="37" t="s">
        <v>128</v>
      </c>
      <c r="V164" s="37" t="s">
        <v>161</v>
      </c>
      <c r="W164" s="37" t="s">
        <v>122</v>
      </c>
      <c r="X164" s="37"/>
      <c r="Y164" s="37"/>
      <c r="Z164" s="37"/>
      <c r="AA164" s="37">
        <v>0.2</v>
      </c>
    </row>
    <row r="165" spans="1:27" x14ac:dyDescent="0.25">
      <c r="A165" s="37" t="s">
        <v>595</v>
      </c>
      <c r="B165" s="37" t="s">
        <v>115</v>
      </c>
      <c r="C165" s="37" t="s">
        <v>596</v>
      </c>
      <c r="D165" s="37" t="s">
        <v>390</v>
      </c>
      <c r="E165" s="37" t="s">
        <v>166</v>
      </c>
      <c r="F165" s="37" t="s">
        <v>597</v>
      </c>
      <c r="G165" s="37" t="s">
        <v>119</v>
      </c>
      <c r="H165" s="37" t="s">
        <v>166</v>
      </c>
      <c r="I165" s="37" t="s">
        <v>598</v>
      </c>
      <c r="J165" s="37" t="s">
        <v>121</v>
      </c>
      <c r="K165" s="37" t="s">
        <v>166</v>
      </c>
      <c r="L165" s="37" t="s">
        <v>122</v>
      </c>
      <c r="M165" s="37" t="s">
        <v>136</v>
      </c>
      <c r="N165" s="37" t="s">
        <v>64</v>
      </c>
      <c r="O165" s="37" t="s">
        <v>122</v>
      </c>
      <c r="P165" s="37" t="s">
        <v>392</v>
      </c>
      <c r="Q165" s="37" t="s">
        <v>125</v>
      </c>
      <c r="R165" s="37" t="s">
        <v>68</v>
      </c>
      <c r="S165" s="37" t="s">
        <v>127</v>
      </c>
      <c r="T165" s="37" t="s">
        <v>127</v>
      </c>
      <c r="U165" s="37" t="s">
        <v>128</v>
      </c>
      <c r="V165" s="37" t="s">
        <v>64</v>
      </c>
      <c r="W165" s="37" t="s">
        <v>122</v>
      </c>
      <c r="X165" s="37"/>
      <c r="Y165" s="37"/>
      <c r="Z165" s="37"/>
      <c r="AA165" s="37">
        <v>0.2</v>
      </c>
    </row>
    <row r="166" spans="1:27" x14ac:dyDescent="0.25">
      <c r="A166" s="37" t="s">
        <v>582</v>
      </c>
      <c r="B166" s="37" t="s">
        <v>130</v>
      </c>
      <c r="C166" s="37" t="s">
        <v>599</v>
      </c>
      <c r="D166" s="37" t="s">
        <v>146</v>
      </c>
      <c r="E166" s="37" t="s">
        <v>166</v>
      </c>
      <c r="F166" s="37"/>
      <c r="G166" s="37" t="s">
        <v>147</v>
      </c>
      <c r="H166" s="37" t="s">
        <v>219</v>
      </c>
      <c r="I166" s="37" t="s">
        <v>148</v>
      </c>
      <c r="J166" s="37" t="s">
        <v>149</v>
      </c>
      <c r="K166" s="37" t="s">
        <v>73</v>
      </c>
      <c r="L166" s="37" t="s">
        <v>122</v>
      </c>
      <c r="M166" s="37" t="s">
        <v>136</v>
      </c>
      <c r="N166" s="37" t="s">
        <v>78</v>
      </c>
      <c r="O166" s="37" t="s">
        <v>122</v>
      </c>
      <c r="P166" s="37"/>
      <c r="Q166" s="37"/>
      <c r="R166" s="37"/>
      <c r="S166" s="37"/>
      <c r="T166" s="37"/>
      <c r="U166" s="37" t="s">
        <v>128</v>
      </c>
      <c r="V166" s="37" t="s">
        <v>78</v>
      </c>
      <c r="W166" s="37" t="s">
        <v>122</v>
      </c>
      <c r="X166" s="37" t="s">
        <v>136</v>
      </c>
      <c r="Y166" s="37" t="s">
        <v>78</v>
      </c>
      <c r="Z166" s="37"/>
      <c r="AA166" s="37">
        <v>0.2</v>
      </c>
    </row>
    <row r="167" spans="1:27" x14ac:dyDescent="0.25">
      <c r="A167" s="37" t="s">
        <v>582</v>
      </c>
      <c r="B167" s="37" t="s">
        <v>167</v>
      </c>
      <c r="C167" s="37" t="s">
        <v>600</v>
      </c>
      <c r="D167" s="37" t="s">
        <v>178</v>
      </c>
      <c r="E167" s="37" t="s">
        <v>166</v>
      </c>
      <c r="F167" s="37" t="s">
        <v>601</v>
      </c>
      <c r="G167" s="37" t="s">
        <v>119</v>
      </c>
      <c r="H167" s="37" t="s">
        <v>166</v>
      </c>
      <c r="I167" s="37" t="s">
        <v>602</v>
      </c>
      <c r="J167" s="37" t="s">
        <v>121</v>
      </c>
      <c r="K167" s="37" t="s">
        <v>166</v>
      </c>
      <c r="L167" s="37" t="s">
        <v>122</v>
      </c>
      <c r="M167" s="37" t="s">
        <v>136</v>
      </c>
      <c r="N167" s="37" t="s">
        <v>166</v>
      </c>
      <c r="O167" s="37" t="s">
        <v>122</v>
      </c>
      <c r="P167" s="37" t="s">
        <v>218</v>
      </c>
      <c r="Q167" s="37" t="s">
        <v>230</v>
      </c>
      <c r="R167" s="37" t="s">
        <v>81</v>
      </c>
      <c r="S167" s="37" t="s">
        <v>127</v>
      </c>
      <c r="T167" s="37" t="s">
        <v>127</v>
      </c>
      <c r="U167" s="37" t="s">
        <v>128</v>
      </c>
      <c r="V167" s="37" t="s">
        <v>166</v>
      </c>
      <c r="W167" s="37" t="s">
        <v>122</v>
      </c>
      <c r="X167" s="37"/>
      <c r="Y167" s="37"/>
      <c r="Z167" s="37" t="s">
        <v>603</v>
      </c>
      <c r="AA167" s="37">
        <v>0.2</v>
      </c>
    </row>
    <row r="168" spans="1:27" x14ac:dyDescent="0.25">
      <c r="A168" s="37" t="s">
        <v>604</v>
      </c>
      <c r="B168" s="37" t="s">
        <v>130</v>
      </c>
      <c r="C168" s="37" t="s">
        <v>605</v>
      </c>
      <c r="D168" s="37" t="s">
        <v>146</v>
      </c>
      <c r="E168" s="37" t="s">
        <v>166</v>
      </c>
      <c r="F168" s="37"/>
      <c r="G168" s="37" t="s">
        <v>147</v>
      </c>
      <c r="H168" s="37" t="s">
        <v>219</v>
      </c>
      <c r="I168" s="37" t="s">
        <v>148</v>
      </c>
      <c r="J168" s="37" t="s">
        <v>149</v>
      </c>
      <c r="K168" s="37" t="s">
        <v>73</v>
      </c>
      <c r="L168" s="37" t="s">
        <v>122</v>
      </c>
      <c r="M168" s="37" t="s">
        <v>136</v>
      </c>
      <c r="N168" s="37" t="s">
        <v>78</v>
      </c>
      <c r="O168" s="37" t="s">
        <v>122</v>
      </c>
      <c r="P168" s="37"/>
      <c r="Q168" s="37"/>
      <c r="R168" s="37"/>
      <c r="S168" s="37"/>
      <c r="T168" s="37"/>
      <c r="U168" s="37" t="s">
        <v>128</v>
      </c>
      <c r="V168" s="37" t="s">
        <v>78</v>
      </c>
      <c r="W168" s="37" t="s">
        <v>122</v>
      </c>
      <c r="X168" s="37" t="s">
        <v>136</v>
      </c>
      <c r="Y168" s="37" t="s">
        <v>78</v>
      </c>
      <c r="Z168" s="37"/>
      <c r="AA168" s="37">
        <v>0.2</v>
      </c>
    </row>
    <row r="169" spans="1:27" x14ac:dyDescent="0.25">
      <c r="A169" s="37" t="s">
        <v>604</v>
      </c>
      <c r="B169" s="37" t="s">
        <v>362</v>
      </c>
      <c r="C169" s="37" t="s">
        <v>606</v>
      </c>
      <c r="D169" s="37" t="s">
        <v>503</v>
      </c>
      <c r="E169" s="37" t="s">
        <v>166</v>
      </c>
      <c r="F169" s="37"/>
      <c r="G169" s="37" t="s">
        <v>365</v>
      </c>
      <c r="H169" s="37" t="s">
        <v>137</v>
      </c>
      <c r="I169" s="37" t="s">
        <v>148</v>
      </c>
      <c r="J169" s="37" t="s">
        <v>149</v>
      </c>
      <c r="K169" s="37" t="s">
        <v>137</v>
      </c>
      <c r="L169" s="37" t="s">
        <v>122</v>
      </c>
      <c r="M169" s="37" t="s">
        <v>136</v>
      </c>
      <c r="N169" s="37" t="s">
        <v>137</v>
      </c>
      <c r="O169" s="37" t="s">
        <v>122</v>
      </c>
      <c r="P169" s="37" t="s">
        <v>504</v>
      </c>
      <c r="Q169" s="37"/>
      <c r="R169" s="37"/>
      <c r="S169" s="37"/>
      <c r="T169" s="37"/>
      <c r="U169" s="37" t="s">
        <v>128</v>
      </c>
      <c r="V169" s="37" t="s">
        <v>137</v>
      </c>
      <c r="W169" s="37" t="s">
        <v>122</v>
      </c>
      <c r="X169" s="37"/>
      <c r="Y169" s="37"/>
      <c r="Z169" s="37"/>
      <c r="AA169" s="37">
        <v>0.2</v>
      </c>
    </row>
    <row r="170" spans="1:27" x14ac:dyDescent="0.25">
      <c r="A170" s="37" t="s">
        <v>587</v>
      </c>
      <c r="B170" s="37" t="s">
        <v>362</v>
      </c>
      <c r="C170" s="37" t="s">
        <v>607</v>
      </c>
      <c r="D170" s="37" t="s">
        <v>123</v>
      </c>
      <c r="E170" s="37" t="s">
        <v>166</v>
      </c>
      <c r="F170" s="37"/>
      <c r="G170" s="37" t="s">
        <v>365</v>
      </c>
      <c r="H170" s="37" t="s">
        <v>137</v>
      </c>
      <c r="I170" s="37" t="s">
        <v>148</v>
      </c>
      <c r="J170" s="37" t="s">
        <v>149</v>
      </c>
      <c r="K170" s="37" t="s">
        <v>137</v>
      </c>
      <c r="L170" s="37" t="s">
        <v>122</v>
      </c>
      <c r="M170" s="37" t="s">
        <v>123</v>
      </c>
      <c r="N170" s="37" t="s">
        <v>187</v>
      </c>
      <c r="O170" s="37" t="s">
        <v>122</v>
      </c>
      <c r="P170" s="37" t="s">
        <v>439</v>
      </c>
      <c r="Q170" s="37" t="s">
        <v>440</v>
      </c>
      <c r="R170" s="37" t="s">
        <v>441</v>
      </c>
      <c r="S170" s="37" t="s">
        <v>127</v>
      </c>
      <c r="T170" s="37" t="s">
        <v>127</v>
      </c>
      <c r="U170" s="37" t="s">
        <v>128</v>
      </c>
      <c r="V170" s="37" t="s">
        <v>187</v>
      </c>
      <c r="W170" s="37" t="s">
        <v>122</v>
      </c>
      <c r="X170" s="37" t="s">
        <v>123</v>
      </c>
      <c r="Y170" s="37" t="s">
        <v>427</v>
      </c>
      <c r="Z170" s="37" t="s">
        <v>608</v>
      </c>
      <c r="AA170" s="37">
        <v>0.2</v>
      </c>
    </row>
    <row r="171" spans="1:27" x14ac:dyDescent="0.25">
      <c r="A171" s="37" t="s">
        <v>592</v>
      </c>
      <c r="B171" s="37" t="s">
        <v>362</v>
      </c>
      <c r="C171" s="37" t="s">
        <v>609</v>
      </c>
      <c r="D171" s="37" t="s">
        <v>123</v>
      </c>
      <c r="E171" s="37" t="s">
        <v>166</v>
      </c>
      <c r="F171" s="37"/>
      <c r="G171" s="37" t="s">
        <v>365</v>
      </c>
      <c r="H171" s="37" t="s">
        <v>137</v>
      </c>
      <c r="I171" s="37" t="s">
        <v>148</v>
      </c>
      <c r="J171" s="37" t="s">
        <v>149</v>
      </c>
      <c r="K171" s="37" t="s">
        <v>137</v>
      </c>
      <c r="L171" s="37" t="s">
        <v>122</v>
      </c>
      <c r="M171" s="37" t="s">
        <v>123</v>
      </c>
      <c r="N171" s="37" t="s">
        <v>187</v>
      </c>
      <c r="O171" s="37" t="s">
        <v>122</v>
      </c>
      <c r="P171" s="37" t="s">
        <v>564</v>
      </c>
      <c r="Q171" s="37" t="s">
        <v>440</v>
      </c>
      <c r="R171" s="37" t="s">
        <v>166</v>
      </c>
      <c r="S171" s="37" t="s">
        <v>127</v>
      </c>
      <c r="T171" s="37" t="s">
        <v>127</v>
      </c>
      <c r="U171" s="37" t="s">
        <v>128</v>
      </c>
      <c r="V171" s="37" t="s">
        <v>187</v>
      </c>
      <c r="W171" s="37" t="s">
        <v>122</v>
      </c>
      <c r="X171" s="37" t="s">
        <v>123</v>
      </c>
      <c r="Y171" s="37" t="s">
        <v>341</v>
      </c>
      <c r="Z171" s="37"/>
      <c r="AA171" s="37">
        <v>0.2</v>
      </c>
    </row>
    <row r="172" spans="1:27" x14ac:dyDescent="0.25">
      <c r="A172" s="37" t="s">
        <v>610</v>
      </c>
      <c r="B172" s="37" t="s">
        <v>167</v>
      </c>
      <c r="C172" s="37" t="s">
        <v>611</v>
      </c>
      <c r="D172" s="37" t="s">
        <v>169</v>
      </c>
      <c r="E172" s="37" t="s">
        <v>64</v>
      </c>
      <c r="F172" s="37" t="s">
        <v>612</v>
      </c>
      <c r="G172" s="37" t="s">
        <v>119</v>
      </c>
      <c r="H172" s="37" t="s">
        <v>68</v>
      </c>
      <c r="I172" s="37" t="s">
        <v>613</v>
      </c>
      <c r="J172" s="37" t="s">
        <v>149</v>
      </c>
      <c r="K172" s="37" t="s">
        <v>161</v>
      </c>
      <c r="L172" s="37" t="s">
        <v>122</v>
      </c>
      <c r="M172" s="37" t="s">
        <v>136</v>
      </c>
      <c r="N172" s="37" t="s">
        <v>187</v>
      </c>
      <c r="O172" s="37" t="s">
        <v>122</v>
      </c>
      <c r="P172" s="37" t="s">
        <v>218</v>
      </c>
      <c r="Q172" s="37" t="s">
        <v>174</v>
      </c>
      <c r="R172" s="37" t="s">
        <v>219</v>
      </c>
      <c r="S172" s="37" t="s">
        <v>127</v>
      </c>
      <c r="T172" s="37" t="s">
        <v>127</v>
      </c>
      <c r="U172" s="37" t="s">
        <v>128</v>
      </c>
      <c r="V172" s="37" t="s">
        <v>187</v>
      </c>
      <c r="W172" s="37" t="s">
        <v>122</v>
      </c>
      <c r="X172" s="37"/>
      <c r="Y172" s="37"/>
      <c r="Z172" s="37"/>
      <c r="AA172" s="37">
        <v>0.2</v>
      </c>
    </row>
    <row r="173" spans="1:27" x14ac:dyDescent="0.25">
      <c r="A173" s="37" t="s">
        <v>610</v>
      </c>
      <c r="B173" s="37" t="s">
        <v>115</v>
      </c>
      <c r="C173" s="37" t="s">
        <v>614</v>
      </c>
      <c r="D173" s="37" t="s">
        <v>121</v>
      </c>
      <c r="E173" s="37" t="s">
        <v>64</v>
      </c>
      <c r="F173" s="37"/>
      <c r="G173" s="37" t="s">
        <v>350</v>
      </c>
      <c r="H173" s="37" t="s">
        <v>73</v>
      </c>
      <c r="I173" s="37" t="s">
        <v>615</v>
      </c>
      <c r="J173" s="37" t="s">
        <v>149</v>
      </c>
      <c r="K173" s="37" t="s">
        <v>73</v>
      </c>
      <c r="L173" s="37" t="s">
        <v>122</v>
      </c>
      <c r="M173" s="37" t="s">
        <v>123</v>
      </c>
      <c r="N173" s="37" t="s">
        <v>78</v>
      </c>
      <c r="O173" s="37" t="s">
        <v>122</v>
      </c>
      <c r="P173" s="37" t="s">
        <v>547</v>
      </c>
      <c r="Q173" s="37" t="s">
        <v>353</v>
      </c>
      <c r="R173" s="37" t="s">
        <v>427</v>
      </c>
      <c r="S173" s="37" t="s">
        <v>127</v>
      </c>
      <c r="T173" s="37" t="s">
        <v>127</v>
      </c>
      <c r="U173" s="37" t="s">
        <v>128</v>
      </c>
      <c r="V173" s="37" t="s">
        <v>78</v>
      </c>
      <c r="W173" s="37" t="s">
        <v>122</v>
      </c>
      <c r="X173" s="37" t="s">
        <v>123</v>
      </c>
      <c r="Y173" s="37" t="s">
        <v>427</v>
      </c>
      <c r="Z173" s="37"/>
      <c r="AA173" s="37">
        <v>0.2</v>
      </c>
    </row>
    <row r="174" spans="1:27" x14ac:dyDescent="0.25">
      <c r="A174" s="37" t="s">
        <v>62</v>
      </c>
      <c r="B174" s="37" t="s">
        <v>167</v>
      </c>
      <c r="C174" s="37" t="s">
        <v>616</v>
      </c>
      <c r="D174" s="37" t="s">
        <v>169</v>
      </c>
      <c r="E174" s="37" t="s">
        <v>64</v>
      </c>
      <c r="F174" s="37"/>
      <c r="G174" s="37" t="s">
        <v>119</v>
      </c>
      <c r="H174" s="37" t="s">
        <v>68</v>
      </c>
      <c r="I174" s="37" t="s">
        <v>617</v>
      </c>
      <c r="J174" s="37" t="s">
        <v>121</v>
      </c>
      <c r="K174" s="37" t="s">
        <v>187</v>
      </c>
      <c r="L174" s="37" t="s">
        <v>122</v>
      </c>
      <c r="M174" s="37" t="s">
        <v>136</v>
      </c>
      <c r="N174" s="37" t="s">
        <v>187</v>
      </c>
      <c r="O174" s="37" t="s">
        <v>122</v>
      </c>
      <c r="P174" s="37" t="s">
        <v>218</v>
      </c>
      <c r="Q174" s="37" t="s">
        <v>174</v>
      </c>
      <c r="R174" s="37" t="s">
        <v>219</v>
      </c>
      <c r="S174" s="37" t="s">
        <v>127</v>
      </c>
      <c r="T174" s="37" t="s">
        <v>127</v>
      </c>
      <c r="U174" s="37" t="s">
        <v>128</v>
      </c>
      <c r="V174" s="37" t="s">
        <v>187</v>
      </c>
      <c r="W174" s="37" t="s">
        <v>122</v>
      </c>
      <c r="X174" s="37"/>
      <c r="Y174" s="37"/>
      <c r="Z174" s="37"/>
      <c r="AA174" s="37">
        <v>0.2</v>
      </c>
    </row>
    <row r="175" spans="1:27" x14ac:dyDescent="0.25">
      <c r="A175" s="37" t="s">
        <v>610</v>
      </c>
      <c r="B175" s="37" t="s">
        <v>532</v>
      </c>
      <c r="C175" s="37" t="s">
        <v>618</v>
      </c>
      <c r="D175" s="37" t="s">
        <v>121</v>
      </c>
      <c r="E175" s="37" t="s">
        <v>64</v>
      </c>
      <c r="F175" s="37"/>
      <c r="G175" s="37" t="s">
        <v>350</v>
      </c>
      <c r="H175" s="37" t="s">
        <v>73</v>
      </c>
      <c r="I175" s="37" t="s">
        <v>490</v>
      </c>
      <c r="J175" s="37" t="s">
        <v>149</v>
      </c>
      <c r="K175" s="37" t="s">
        <v>73</v>
      </c>
      <c r="L175" s="37" t="s">
        <v>122</v>
      </c>
      <c r="M175" s="37" t="s">
        <v>123</v>
      </c>
      <c r="N175" s="37" t="s">
        <v>78</v>
      </c>
      <c r="O175" s="37" t="s">
        <v>122</v>
      </c>
      <c r="P175" s="37" t="s">
        <v>547</v>
      </c>
      <c r="Q175" s="37" t="s">
        <v>353</v>
      </c>
      <c r="R175" s="37" t="s">
        <v>427</v>
      </c>
      <c r="S175" s="37" t="s">
        <v>127</v>
      </c>
      <c r="T175" s="37" t="s">
        <v>127</v>
      </c>
      <c r="U175" s="37" t="s">
        <v>128</v>
      </c>
      <c r="V175" s="37" t="s">
        <v>78</v>
      </c>
      <c r="W175" s="37" t="s">
        <v>122</v>
      </c>
      <c r="X175" s="37" t="s">
        <v>123</v>
      </c>
      <c r="Y175" s="37" t="s">
        <v>78</v>
      </c>
      <c r="Z175" s="37"/>
      <c r="AA175" s="37">
        <v>0.2</v>
      </c>
    </row>
    <row r="176" spans="1:27" x14ac:dyDescent="0.25">
      <c r="A176" s="37" t="s">
        <v>65</v>
      </c>
      <c r="B176" s="37" t="s">
        <v>251</v>
      </c>
      <c r="C176" s="37" t="s">
        <v>619</v>
      </c>
      <c r="D176" s="37" t="s">
        <v>117</v>
      </c>
      <c r="E176" s="37" t="s">
        <v>68</v>
      </c>
      <c r="F176" s="37"/>
      <c r="G176" s="37" t="s">
        <v>119</v>
      </c>
      <c r="H176" s="37" t="s">
        <v>137</v>
      </c>
      <c r="I176" s="37" t="s">
        <v>620</v>
      </c>
      <c r="J176" s="37" t="s">
        <v>121</v>
      </c>
      <c r="K176" s="37" t="s">
        <v>161</v>
      </c>
      <c r="L176" s="37" t="s">
        <v>122</v>
      </c>
      <c r="M176" s="37" t="s">
        <v>123</v>
      </c>
      <c r="N176" s="37" t="s">
        <v>161</v>
      </c>
      <c r="O176" s="37" t="s">
        <v>122</v>
      </c>
      <c r="P176" s="37" t="s">
        <v>405</v>
      </c>
      <c r="Q176" s="37" t="s">
        <v>165</v>
      </c>
      <c r="R176" s="37" t="s">
        <v>219</v>
      </c>
      <c r="S176" s="37" t="s">
        <v>127</v>
      </c>
      <c r="T176" s="37" t="s">
        <v>175</v>
      </c>
      <c r="U176" s="37" t="s">
        <v>128</v>
      </c>
      <c r="V176" s="37" t="s">
        <v>161</v>
      </c>
      <c r="W176" s="37" t="s">
        <v>122</v>
      </c>
      <c r="X176" s="37"/>
      <c r="Y176" s="37"/>
      <c r="Z176" s="37"/>
      <c r="AA176" s="37">
        <v>0.2</v>
      </c>
    </row>
    <row r="177" spans="1:27" x14ac:dyDescent="0.25">
      <c r="A177" s="37" t="s">
        <v>65</v>
      </c>
      <c r="B177" s="37" t="s">
        <v>115</v>
      </c>
      <c r="C177" s="37" t="s">
        <v>621</v>
      </c>
      <c r="D177" s="37" t="s">
        <v>117</v>
      </c>
      <c r="E177" s="37" t="s">
        <v>68</v>
      </c>
      <c r="F177" s="37"/>
      <c r="G177" s="37" t="s">
        <v>119</v>
      </c>
      <c r="H177" s="37" t="s">
        <v>137</v>
      </c>
      <c r="I177" s="37" t="s">
        <v>622</v>
      </c>
      <c r="J177" s="37" t="s">
        <v>121</v>
      </c>
      <c r="K177" s="37" t="s">
        <v>161</v>
      </c>
      <c r="L177" s="37" t="s">
        <v>122</v>
      </c>
      <c r="M177" s="37" t="s">
        <v>123</v>
      </c>
      <c r="N177" s="37" t="s">
        <v>161</v>
      </c>
      <c r="O177" s="37" t="s">
        <v>122</v>
      </c>
      <c r="P177" s="37" t="s">
        <v>547</v>
      </c>
      <c r="Q177" s="37" t="s">
        <v>125</v>
      </c>
      <c r="R177" s="37" t="s">
        <v>427</v>
      </c>
      <c r="S177" s="37" t="s">
        <v>127</v>
      </c>
      <c r="T177" s="37" t="s">
        <v>127</v>
      </c>
      <c r="U177" s="37" t="s">
        <v>128</v>
      </c>
      <c r="V177" s="37" t="s">
        <v>161</v>
      </c>
      <c r="W177" s="37" t="s">
        <v>122</v>
      </c>
      <c r="X177" s="37"/>
      <c r="Y177" s="37"/>
      <c r="Z177" s="37"/>
      <c r="AA177" s="37">
        <v>0.2</v>
      </c>
    </row>
    <row r="178" spans="1:27" x14ac:dyDescent="0.25">
      <c r="A178" s="37" t="s">
        <v>65</v>
      </c>
      <c r="B178" s="37" t="s">
        <v>529</v>
      </c>
      <c r="C178" s="37" t="s">
        <v>623</v>
      </c>
      <c r="D178" s="37" t="s">
        <v>457</v>
      </c>
      <c r="E178" s="37" t="s">
        <v>68</v>
      </c>
      <c r="F178" s="37"/>
      <c r="G178" s="37" t="s">
        <v>119</v>
      </c>
      <c r="H178" s="37" t="s">
        <v>68</v>
      </c>
      <c r="I178" s="37" t="s">
        <v>624</v>
      </c>
      <c r="J178" s="37" t="s">
        <v>135</v>
      </c>
      <c r="K178" s="37" t="s">
        <v>68</v>
      </c>
      <c r="L178" s="37" t="s">
        <v>122</v>
      </c>
      <c r="M178" s="37" t="s">
        <v>136</v>
      </c>
      <c r="N178" s="37" t="s">
        <v>137</v>
      </c>
      <c r="O178" s="37" t="s">
        <v>122</v>
      </c>
      <c r="P178" s="37"/>
      <c r="Q178" s="37"/>
      <c r="R178" s="37"/>
      <c r="S178" s="37"/>
      <c r="T178" s="37"/>
      <c r="U178" s="37" t="s">
        <v>128</v>
      </c>
      <c r="V178" s="37" t="s">
        <v>137</v>
      </c>
      <c r="W178" s="37" t="s">
        <v>122</v>
      </c>
      <c r="X178" s="37"/>
      <c r="Y178" s="37"/>
      <c r="Z178" s="37"/>
      <c r="AA178" s="37">
        <v>0.2</v>
      </c>
    </row>
    <row r="179" spans="1:27" x14ac:dyDescent="0.25">
      <c r="A179" s="37" t="s">
        <v>65</v>
      </c>
      <c r="B179" s="37" t="s">
        <v>362</v>
      </c>
      <c r="C179" s="37" t="s">
        <v>625</v>
      </c>
      <c r="D179" s="37" t="s">
        <v>503</v>
      </c>
      <c r="E179" s="37" t="s">
        <v>68</v>
      </c>
      <c r="F179" s="37"/>
      <c r="G179" s="37" t="s">
        <v>365</v>
      </c>
      <c r="H179" s="37" t="s">
        <v>137</v>
      </c>
      <c r="I179" s="37" t="s">
        <v>148</v>
      </c>
      <c r="J179" s="37" t="s">
        <v>149</v>
      </c>
      <c r="K179" s="37" t="s">
        <v>137</v>
      </c>
      <c r="L179" s="37" t="s">
        <v>122</v>
      </c>
      <c r="M179" s="37" t="s">
        <v>136</v>
      </c>
      <c r="N179" s="37" t="s">
        <v>137</v>
      </c>
      <c r="O179" s="37" t="s">
        <v>122</v>
      </c>
      <c r="P179" s="37" t="s">
        <v>504</v>
      </c>
      <c r="Q179" s="37" t="s">
        <v>440</v>
      </c>
      <c r="R179" s="37" t="s">
        <v>341</v>
      </c>
      <c r="S179" s="37" t="s">
        <v>127</v>
      </c>
      <c r="T179" s="37" t="s">
        <v>175</v>
      </c>
      <c r="U179" s="37" t="s">
        <v>128</v>
      </c>
      <c r="V179" s="37" t="s">
        <v>137</v>
      </c>
      <c r="W179" s="37" t="s">
        <v>122</v>
      </c>
      <c r="X179" s="37"/>
      <c r="Y179" s="37"/>
      <c r="Z179" s="37"/>
      <c r="AA179" s="37">
        <v>0.2</v>
      </c>
    </row>
    <row r="180" spans="1:27" x14ac:dyDescent="0.25">
      <c r="A180" s="37" t="s">
        <v>65</v>
      </c>
      <c r="B180" s="37" t="s">
        <v>130</v>
      </c>
      <c r="C180" s="37" t="s">
        <v>626</v>
      </c>
      <c r="D180" s="37" t="s">
        <v>132</v>
      </c>
      <c r="E180" s="37" t="s">
        <v>68</v>
      </c>
      <c r="F180" s="37"/>
      <c r="G180" s="37" t="s">
        <v>119</v>
      </c>
      <c r="H180" s="37" t="s">
        <v>318</v>
      </c>
      <c r="I180" s="37" t="s">
        <v>627</v>
      </c>
      <c r="J180" s="37" t="s">
        <v>121</v>
      </c>
      <c r="K180" s="37" t="s">
        <v>318</v>
      </c>
      <c r="L180" s="37" t="s">
        <v>122</v>
      </c>
      <c r="M180" s="37" t="s">
        <v>136</v>
      </c>
      <c r="N180" s="37" t="s">
        <v>78</v>
      </c>
      <c r="O180" s="37" t="s">
        <v>122</v>
      </c>
      <c r="P180" s="37"/>
      <c r="Q180" s="37"/>
      <c r="R180" s="37"/>
      <c r="S180" s="37"/>
      <c r="T180" s="37"/>
      <c r="U180" s="37" t="s">
        <v>128</v>
      </c>
      <c r="V180" s="37" t="s">
        <v>78</v>
      </c>
      <c r="W180" s="37" t="s">
        <v>122</v>
      </c>
      <c r="X180" s="37" t="s">
        <v>136</v>
      </c>
      <c r="Y180" s="37" t="s">
        <v>78</v>
      </c>
      <c r="Z180" s="37"/>
      <c r="AA180" s="37">
        <v>0.2</v>
      </c>
    </row>
    <row r="181" spans="1:27" x14ac:dyDescent="0.25">
      <c r="A181" s="37" t="s">
        <v>65</v>
      </c>
      <c r="B181" s="37" t="s">
        <v>167</v>
      </c>
      <c r="C181" s="37" t="s">
        <v>628</v>
      </c>
      <c r="D181" s="37" t="s">
        <v>214</v>
      </c>
      <c r="E181" s="37" t="s">
        <v>68</v>
      </c>
      <c r="F181" s="37"/>
      <c r="G181" s="37" t="s">
        <v>119</v>
      </c>
      <c r="H181" s="37" t="s">
        <v>137</v>
      </c>
      <c r="I181" s="37" t="s">
        <v>629</v>
      </c>
      <c r="J181" s="37" t="s">
        <v>121</v>
      </c>
      <c r="K181" s="37" t="s">
        <v>78</v>
      </c>
      <c r="L181" s="37" t="s">
        <v>122</v>
      </c>
      <c r="M181" s="37" t="s">
        <v>123</v>
      </c>
      <c r="N181" s="37" t="s">
        <v>427</v>
      </c>
      <c r="O181" s="37" t="s">
        <v>122</v>
      </c>
      <c r="P181" s="37" t="s">
        <v>630</v>
      </c>
      <c r="Q181" s="37" t="s">
        <v>174</v>
      </c>
      <c r="R181" s="37" t="s">
        <v>81</v>
      </c>
      <c r="S181" s="37" t="s">
        <v>127</v>
      </c>
      <c r="T181" s="37" t="s">
        <v>127</v>
      </c>
      <c r="U181" s="37" t="s">
        <v>128</v>
      </c>
      <c r="V181" s="37" t="s">
        <v>427</v>
      </c>
      <c r="W181" s="37" t="s">
        <v>122</v>
      </c>
      <c r="X181" s="37"/>
      <c r="Y181" s="37"/>
      <c r="Z181" s="37"/>
      <c r="AA181" s="37">
        <v>0.2</v>
      </c>
    </row>
    <row r="182" spans="1:27" x14ac:dyDescent="0.25">
      <c r="A182" s="37" t="s">
        <v>65</v>
      </c>
      <c r="B182" s="37" t="s">
        <v>380</v>
      </c>
      <c r="C182" s="37" t="s">
        <v>631</v>
      </c>
      <c r="D182" s="37" t="s">
        <v>435</v>
      </c>
      <c r="E182" s="37" t="s">
        <v>68</v>
      </c>
      <c r="F182" s="37"/>
      <c r="G182" s="37" t="s">
        <v>119</v>
      </c>
      <c r="H182" s="37" t="s">
        <v>68</v>
      </c>
      <c r="I182" s="37" t="s">
        <v>632</v>
      </c>
      <c r="J182" s="37" t="s">
        <v>135</v>
      </c>
      <c r="K182" s="37" t="s">
        <v>68</v>
      </c>
      <c r="L182" s="37" t="s">
        <v>122</v>
      </c>
      <c r="M182" s="37" t="s">
        <v>136</v>
      </c>
      <c r="N182" s="37" t="s">
        <v>137</v>
      </c>
      <c r="O182" s="37" t="s">
        <v>122</v>
      </c>
      <c r="P182" s="37"/>
      <c r="Q182" s="37"/>
      <c r="R182" s="37"/>
      <c r="S182" s="37"/>
      <c r="T182" s="37"/>
      <c r="U182" s="37" t="s">
        <v>128</v>
      </c>
      <c r="V182" s="37" t="s">
        <v>137</v>
      </c>
      <c r="W182" s="37" t="s">
        <v>122</v>
      </c>
      <c r="X182" s="37"/>
      <c r="Y182" s="37"/>
      <c r="Z182" s="37"/>
      <c r="AA182" s="37">
        <v>0.2</v>
      </c>
    </row>
    <row r="183" spans="1:27" x14ac:dyDescent="0.25">
      <c r="A183" s="37" t="s">
        <v>69</v>
      </c>
      <c r="B183" s="37" t="s">
        <v>130</v>
      </c>
      <c r="C183" s="37" t="s">
        <v>633</v>
      </c>
      <c r="D183" s="37" t="s">
        <v>132</v>
      </c>
      <c r="E183" s="37" t="s">
        <v>68</v>
      </c>
      <c r="F183" s="37"/>
      <c r="G183" s="37" t="s">
        <v>119</v>
      </c>
      <c r="H183" s="37" t="s">
        <v>318</v>
      </c>
      <c r="I183" s="37" t="s">
        <v>634</v>
      </c>
      <c r="J183" s="37" t="s">
        <v>121</v>
      </c>
      <c r="K183" s="37" t="s">
        <v>318</v>
      </c>
      <c r="L183" s="37" t="s">
        <v>122</v>
      </c>
      <c r="M183" s="37" t="s">
        <v>136</v>
      </c>
      <c r="N183" s="37" t="s">
        <v>78</v>
      </c>
      <c r="O183" s="37" t="s">
        <v>122</v>
      </c>
      <c r="P183" s="37"/>
      <c r="Q183" s="37"/>
      <c r="R183" s="37"/>
      <c r="S183" s="37"/>
      <c r="T183" s="37"/>
      <c r="U183" s="37" t="s">
        <v>128</v>
      </c>
      <c r="V183" s="37" t="s">
        <v>78</v>
      </c>
      <c r="W183" s="37" t="s">
        <v>122</v>
      </c>
      <c r="X183" s="37"/>
      <c r="Y183" s="37"/>
      <c r="Z183" s="37"/>
      <c r="AA183" s="37">
        <v>0.2</v>
      </c>
    </row>
    <row r="184" spans="1:27" x14ac:dyDescent="0.25">
      <c r="A184" s="37" t="s">
        <v>65</v>
      </c>
      <c r="B184" s="37" t="s">
        <v>162</v>
      </c>
      <c r="C184" s="37" t="s">
        <v>635</v>
      </c>
      <c r="D184" s="37" t="s">
        <v>117</v>
      </c>
      <c r="E184" s="37" t="s">
        <v>68</v>
      </c>
      <c r="F184" s="37"/>
      <c r="G184" s="37" t="s">
        <v>119</v>
      </c>
      <c r="H184" s="37" t="s">
        <v>137</v>
      </c>
      <c r="I184" s="37" t="s">
        <v>204</v>
      </c>
      <c r="J184" s="37" t="s">
        <v>121</v>
      </c>
      <c r="K184" s="37" t="s">
        <v>161</v>
      </c>
      <c r="L184" s="37" t="s">
        <v>122</v>
      </c>
      <c r="M184" s="37" t="s">
        <v>123</v>
      </c>
      <c r="N184" s="37" t="s">
        <v>161</v>
      </c>
      <c r="O184" s="37" t="s">
        <v>122</v>
      </c>
      <c r="P184" s="37" t="s">
        <v>510</v>
      </c>
      <c r="Q184" s="37" t="s">
        <v>165</v>
      </c>
      <c r="R184" s="37" t="s">
        <v>219</v>
      </c>
      <c r="S184" s="37" t="s">
        <v>175</v>
      </c>
      <c r="T184" s="37" t="s">
        <v>175</v>
      </c>
      <c r="U184" s="37" t="s">
        <v>128</v>
      </c>
      <c r="V184" s="37" t="s">
        <v>161</v>
      </c>
      <c r="W184" s="37" t="s">
        <v>122</v>
      </c>
      <c r="X184" s="37"/>
      <c r="Y184" s="37"/>
      <c r="Z184" s="37"/>
      <c r="AA184" s="37">
        <v>0.2</v>
      </c>
    </row>
    <row r="185" spans="1:27" x14ac:dyDescent="0.25">
      <c r="A185" s="37" t="s">
        <v>69</v>
      </c>
      <c r="B185" s="37" t="s">
        <v>162</v>
      </c>
      <c r="C185" s="37" t="s">
        <v>636</v>
      </c>
      <c r="D185" s="37" t="s">
        <v>117</v>
      </c>
      <c r="E185" s="37" t="s">
        <v>68</v>
      </c>
      <c r="F185" s="37"/>
      <c r="G185" s="37" t="s">
        <v>119</v>
      </c>
      <c r="H185" s="37" t="s">
        <v>137</v>
      </c>
      <c r="I185" s="37" t="s">
        <v>637</v>
      </c>
      <c r="J185" s="37" t="s">
        <v>121</v>
      </c>
      <c r="K185" s="37" t="s">
        <v>161</v>
      </c>
      <c r="L185" s="37" t="s">
        <v>122</v>
      </c>
      <c r="M185" s="37" t="s">
        <v>123</v>
      </c>
      <c r="N185" s="37" t="s">
        <v>161</v>
      </c>
      <c r="O185" s="37" t="s">
        <v>122</v>
      </c>
      <c r="P185" s="37" t="s">
        <v>510</v>
      </c>
      <c r="Q185" s="37" t="s">
        <v>165</v>
      </c>
      <c r="R185" s="37" t="s">
        <v>219</v>
      </c>
      <c r="S185" s="37" t="s">
        <v>127</v>
      </c>
      <c r="T185" s="37" t="s">
        <v>175</v>
      </c>
      <c r="U185" s="37" t="s">
        <v>128</v>
      </c>
      <c r="V185" s="37" t="s">
        <v>161</v>
      </c>
      <c r="W185" s="37" t="s">
        <v>122</v>
      </c>
      <c r="X185" s="37"/>
      <c r="Y185" s="37"/>
      <c r="Z185" s="37"/>
      <c r="AA185" s="37">
        <v>0.2</v>
      </c>
    </row>
    <row r="186" spans="1:27" x14ac:dyDescent="0.25">
      <c r="A186" s="37" t="s">
        <v>638</v>
      </c>
      <c r="B186" s="37" t="s">
        <v>130</v>
      </c>
      <c r="C186" s="37" t="s">
        <v>639</v>
      </c>
      <c r="D186" s="37" t="s">
        <v>146</v>
      </c>
      <c r="E186" s="37" t="s">
        <v>68</v>
      </c>
      <c r="F186" s="37" t="s">
        <v>640</v>
      </c>
      <c r="G186" s="37" t="s">
        <v>147</v>
      </c>
      <c r="H186" s="37" t="s">
        <v>219</v>
      </c>
      <c r="I186" s="37" t="s">
        <v>641</v>
      </c>
      <c r="J186" s="37" t="s">
        <v>149</v>
      </c>
      <c r="K186" s="37" t="s">
        <v>73</v>
      </c>
      <c r="L186" s="37" t="s">
        <v>122</v>
      </c>
      <c r="M186" s="37" t="s">
        <v>136</v>
      </c>
      <c r="N186" s="37" t="s">
        <v>78</v>
      </c>
      <c r="O186" s="37" t="s">
        <v>122</v>
      </c>
      <c r="P186" s="37"/>
      <c r="Q186" s="37"/>
      <c r="R186" s="37"/>
      <c r="S186" s="37"/>
      <c r="T186" s="37"/>
      <c r="U186" s="37" t="s">
        <v>128</v>
      </c>
      <c r="V186" s="37" t="s">
        <v>78</v>
      </c>
      <c r="W186" s="37" t="s">
        <v>122</v>
      </c>
      <c r="X186" s="37"/>
      <c r="Y186" s="37"/>
      <c r="Z186" s="37"/>
      <c r="AA186" s="37">
        <v>0.2</v>
      </c>
    </row>
    <row r="187" spans="1:27" x14ac:dyDescent="0.25">
      <c r="A187" s="37" t="s">
        <v>638</v>
      </c>
      <c r="B187" s="37" t="s">
        <v>162</v>
      </c>
      <c r="C187" s="37" t="s">
        <v>642</v>
      </c>
      <c r="D187" s="37" t="s">
        <v>117</v>
      </c>
      <c r="E187" s="37" t="s">
        <v>68</v>
      </c>
      <c r="F187" s="37"/>
      <c r="G187" s="37" t="s">
        <v>119</v>
      </c>
      <c r="H187" s="37" t="s">
        <v>137</v>
      </c>
      <c r="I187" s="37" t="s">
        <v>643</v>
      </c>
      <c r="J187" s="37" t="s">
        <v>121</v>
      </c>
      <c r="K187" s="37" t="s">
        <v>161</v>
      </c>
      <c r="L187" s="37" t="s">
        <v>122</v>
      </c>
      <c r="M187" s="37" t="s">
        <v>123</v>
      </c>
      <c r="N187" s="37" t="s">
        <v>161</v>
      </c>
      <c r="O187" s="37" t="s">
        <v>122</v>
      </c>
      <c r="P187" s="37" t="s">
        <v>510</v>
      </c>
      <c r="Q187" s="37" t="s">
        <v>165</v>
      </c>
      <c r="R187" s="37" t="s">
        <v>219</v>
      </c>
      <c r="S187" s="37" t="s">
        <v>175</v>
      </c>
      <c r="T187" s="37" t="s">
        <v>175</v>
      </c>
      <c r="U187" s="37" t="s">
        <v>128</v>
      </c>
      <c r="V187" s="37" t="s">
        <v>161</v>
      </c>
      <c r="W187" s="37" t="s">
        <v>122</v>
      </c>
      <c r="X187" s="37"/>
      <c r="Y187" s="37"/>
      <c r="Z187" s="37"/>
      <c r="AA187" s="37">
        <v>0.2</v>
      </c>
    </row>
    <row r="188" spans="1:27" x14ac:dyDescent="0.25">
      <c r="A188" s="37" t="s">
        <v>644</v>
      </c>
      <c r="B188" s="37" t="s">
        <v>162</v>
      </c>
      <c r="C188" s="37" t="s">
        <v>645</v>
      </c>
      <c r="D188" s="37" t="s">
        <v>117</v>
      </c>
      <c r="E188" s="37" t="s">
        <v>68</v>
      </c>
      <c r="F188" s="37"/>
      <c r="G188" s="37" t="s">
        <v>119</v>
      </c>
      <c r="H188" s="37" t="s">
        <v>137</v>
      </c>
      <c r="I188" s="37" t="s">
        <v>646</v>
      </c>
      <c r="J188" s="37" t="s">
        <v>121</v>
      </c>
      <c r="K188" s="37" t="s">
        <v>161</v>
      </c>
      <c r="L188" s="37" t="s">
        <v>122</v>
      </c>
      <c r="M188" s="37" t="s">
        <v>123</v>
      </c>
      <c r="N188" s="37" t="s">
        <v>161</v>
      </c>
      <c r="O188" s="37" t="s">
        <v>122</v>
      </c>
      <c r="P188" s="37" t="s">
        <v>510</v>
      </c>
      <c r="Q188" s="37" t="s">
        <v>165</v>
      </c>
      <c r="R188" s="37" t="s">
        <v>219</v>
      </c>
      <c r="S188" s="37" t="s">
        <v>127</v>
      </c>
      <c r="T188" s="37" t="s">
        <v>175</v>
      </c>
      <c r="U188" s="37" t="s">
        <v>128</v>
      </c>
      <c r="V188" s="37" t="s">
        <v>161</v>
      </c>
      <c r="W188" s="37" t="s">
        <v>122</v>
      </c>
      <c r="X188" s="37"/>
      <c r="Y188" s="37"/>
      <c r="Z188" s="37"/>
      <c r="AA188" s="37">
        <v>0.2</v>
      </c>
    </row>
    <row r="189" spans="1:27" x14ac:dyDescent="0.25">
      <c r="A189" s="37" t="s">
        <v>69</v>
      </c>
      <c r="B189" s="37" t="s">
        <v>115</v>
      </c>
      <c r="C189" s="37" t="s">
        <v>647</v>
      </c>
      <c r="D189" s="37" t="s">
        <v>121</v>
      </c>
      <c r="E189" s="37" t="s">
        <v>68</v>
      </c>
      <c r="F189" s="37"/>
      <c r="G189" s="37" t="s">
        <v>350</v>
      </c>
      <c r="H189" s="37" t="s">
        <v>73</v>
      </c>
      <c r="I189" s="37" t="s">
        <v>648</v>
      </c>
      <c r="J189" s="37" t="s">
        <v>149</v>
      </c>
      <c r="K189" s="37" t="s">
        <v>73</v>
      </c>
      <c r="L189" s="37" t="s">
        <v>122</v>
      </c>
      <c r="M189" s="37" t="s">
        <v>123</v>
      </c>
      <c r="N189" s="37" t="s">
        <v>78</v>
      </c>
      <c r="O189" s="37" t="s">
        <v>122</v>
      </c>
      <c r="P189" s="37" t="s">
        <v>547</v>
      </c>
      <c r="Q189" s="37" t="s">
        <v>353</v>
      </c>
      <c r="R189" s="37" t="s">
        <v>427</v>
      </c>
      <c r="S189" s="37" t="s">
        <v>127</v>
      </c>
      <c r="T189" s="37" t="s">
        <v>127</v>
      </c>
      <c r="U189" s="37" t="s">
        <v>128</v>
      </c>
      <c r="V189" s="37" t="s">
        <v>78</v>
      </c>
      <c r="W189" s="37" t="s">
        <v>122</v>
      </c>
      <c r="X189" s="37" t="s">
        <v>123</v>
      </c>
      <c r="Y189" s="37" t="s">
        <v>427</v>
      </c>
      <c r="Z189" s="37"/>
      <c r="AA189" s="37">
        <v>0.2</v>
      </c>
    </row>
    <row r="190" spans="1:27" x14ac:dyDescent="0.25">
      <c r="A190" s="37" t="s">
        <v>69</v>
      </c>
      <c r="B190" s="37" t="s">
        <v>167</v>
      </c>
      <c r="C190" s="37" t="s">
        <v>649</v>
      </c>
      <c r="D190" s="37" t="s">
        <v>214</v>
      </c>
      <c r="E190" s="37" t="s">
        <v>68</v>
      </c>
      <c r="F190" s="37"/>
      <c r="G190" s="37" t="s">
        <v>119</v>
      </c>
      <c r="H190" s="37" t="s">
        <v>137</v>
      </c>
      <c r="I190" s="37" t="s">
        <v>650</v>
      </c>
      <c r="J190" s="37" t="s">
        <v>135</v>
      </c>
      <c r="K190" s="37" t="s">
        <v>137</v>
      </c>
      <c r="L190" s="37" t="s">
        <v>122</v>
      </c>
      <c r="M190" s="37" t="s">
        <v>136</v>
      </c>
      <c r="N190" s="37" t="s">
        <v>137</v>
      </c>
      <c r="O190" s="37" t="s">
        <v>122</v>
      </c>
      <c r="P190" s="37" t="s">
        <v>218</v>
      </c>
      <c r="Q190" s="37" t="s">
        <v>174</v>
      </c>
      <c r="R190" s="37" t="s">
        <v>219</v>
      </c>
      <c r="S190" s="37" t="s">
        <v>127</v>
      </c>
      <c r="T190" s="37" t="s">
        <v>127</v>
      </c>
      <c r="U190" s="37" t="s">
        <v>128</v>
      </c>
      <c r="V190" s="37" t="s">
        <v>137</v>
      </c>
      <c r="W190" s="37" t="s">
        <v>122</v>
      </c>
      <c r="X190" s="37"/>
      <c r="Y190" s="37"/>
      <c r="Z190" s="37"/>
      <c r="AA190" s="37">
        <v>0.2</v>
      </c>
    </row>
    <row r="191" spans="1:27" x14ac:dyDescent="0.25">
      <c r="A191" s="37" t="s">
        <v>651</v>
      </c>
      <c r="B191" s="37" t="s">
        <v>130</v>
      </c>
      <c r="C191" s="37" t="s">
        <v>652</v>
      </c>
      <c r="D191" s="37" t="s">
        <v>146</v>
      </c>
      <c r="E191" s="37" t="s">
        <v>68</v>
      </c>
      <c r="F191" s="37"/>
      <c r="G191" s="37" t="s">
        <v>147</v>
      </c>
      <c r="H191" s="37" t="s">
        <v>219</v>
      </c>
      <c r="I191" s="37" t="s">
        <v>148</v>
      </c>
      <c r="J191" s="37" t="s">
        <v>149</v>
      </c>
      <c r="K191" s="37" t="s">
        <v>73</v>
      </c>
      <c r="L191" s="37" t="s">
        <v>122</v>
      </c>
      <c r="M191" s="37" t="s">
        <v>136</v>
      </c>
      <c r="N191" s="37" t="s">
        <v>78</v>
      </c>
      <c r="O191" s="37" t="s">
        <v>122</v>
      </c>
      <c r="P191" s="37"/>
      <c r="Q191" s="37"/>
      <c r="R191" s="37"/>
      <c r="S191" s="37"/>
      <c r="T191" s="37"/>
      <c r="U191" s="37" t="s">
        <v>128</v>
      </c>
      <c r="V191" s="37" t="s">
        <v>78</v>
      </c>
      <c r="W191" s="37" t="s">
        <v>122</v>
      </c>
      <c r="X191" s="37"/>
      <c r="Y191" s="37"/>
      <c r="Z191" s="37"/>
      <c r="AA191" s="37">
        <v>0.2</v>
      </c>
    </row>
    <row r="192" spans="1:27" x14ac:dyDescent="0.25">
      <c r="A192" s="37" t="s">
        <v>644</v>
      </c>
      <c r="B192" s="37" t="s">
        <v>130</v>
      </c>
      <c r="C192" s="37" t="s">
        <v>653</v>
      </c>
      <c r="D192" s="37" t="s">
        <v>146</v>
      </c>
      <c r="E192" s="37" t="s">
        <v>68</v>
      </c>
      <c r="F192" s="37"/>
      <c r="G192" s="37" t="s">
        <v>147</v>
      </c>
      <c r="H192" s="37" t="s">
        <v>219</v>
      </c>
      <c r="I192" s="37" t="s">
        <v>148</v>
      </c>
      <c r="J192" s="37" t="s">
        <v>149</v>
      </c>
      <c r="K192" s="37" t="s">
        <v>73</v>
      </c>
      <c r="L192" s="37" t="s">
        <v>122</v>
      </c>
      <c r="M192" s="37" t="s">
        <v>136</v>
      </c>
      <c r="N192" s="37" t="s">
        <v>78</v>
      </c>
      <c r="O192" s="37" t="s">
        <v>122</v>
      </c>
      <c r="P192" s="37"/>
      <c r="Q192" s="37"/>
      <c r="R192" s="37"/>
      <c r="S192" s="37"/>
      <c r="T192" s="37"/>
      <c r="U192" s="37" t="s">
        <v>128</v>
      </c>
      <c r="V192" s="37" t="s">
        <v>78</v>
      </c>
      <c r="W192" s="37" t="s">
        <v>122</v>
      </c>
      <c r="X192" s="37"/>
      <c r="Y192" s="37"/>
      <c r="Z192" s="37"/>
      <c r="AA192" s="37">
        <v>0.2</v>
      </c>
    </row>
    <row r="193" spans="1:27" x14ac:dyDescent="0.25">
      <c r="A193" s="37" t="s">
        <v>69</v>
      </c>
      <c r="B193" s="37" t="s">
        <v>251</v>
      </c>
      <c r="C193" s="37" t="s">
        <v>654</v>
      </c>
      <c r="D193" s="37" t="s">
        <v>117</v>
      </c>
      <c r="E193" s="37" t="s">
        <v>68</v>
      </c>
      <c r="F193" s="37"/>
      <c r="G193" s="37" t="s">
        <v>119</v>
      </c>
      <c r="H193" s="37" t="s">
        <v>137</v>
      </c>
      <c r="I193" s="37" t="s">
        <v>655</v>
      </c>
      <c r="J193" s="37" t="s">
        <v>121</v>
      </c>
      <c r="K193" s="37" t="s">
        <v>161</v>
      </c>
      <c r="L193" s="37" t="s">
        <v>122</v>
      </c>
      <c r="M193" s="37" t="s">
        <v>123</v>
      </c>
      <c r="N193" s="37" t="s">
        <v>161</v>
      </c>
      <c r="O193" s="37" t="s">
        <v>122</v>
      </c>
      <c r="P193" s="37" t="s">
        <v>405</v>
      </c>
      <c r="Q193" s="37" t="s">
        <v>165</v>
      </c>
      <c r="R193" s="37" t="s">
        <v>219</v>
      </c>
      <c r="S193" s="37" t="s">
        <v>127</v>
      </c>
      <c r="T193" s="37" t="s">
        <v>175</v>
      </c>
      <c r="U193" s="37" t="s">
        <v>128</v>
      </c>
      <c r="V193" s="37" t="s">
        <v>161</v>
      </c>
      <c r="W193" s="37" t="s">
        <v>122</v>
      </c>
      <c r="X193" s="37"/>
      <c r="Y193" s="37"/>
      <c r="Z193" s="37"/>
      <c r="AA193" s="37">
        <v>0.2</v>
      </c>
    </row>
    <row r="194" spans="1:27" x14ac:dyDescent="0.25">
      <c r="A194" s="37" t="s">
        <v>656</v>
      </c>
      <c r="B194" s="37" t="s">
        <v>167</v>
      </c>
      <c r="C194" s="37" t="s">
        <v>657</v>
      </c>
      <c r="D194" s="37" t="s">
        <v>214</v>
      </c>
      <c r="E194" s="37" t="s">
        <v>137</v>
      </c>
      <c r="F194" s="37"/>
      <c r="G194" s="37" t="s">
        <v>119</v>
      </c>
      <c r="H194" s="37" t="s">
        <v>137</v>
      </c>
      <c r="I194" s="37" t="s">
        <v>658</v>
      </c>
      <c r="J194" s="37" t="s">
        <v>135</v>
      </c>
      <c r="K194" s="37" t="s">
        <v>137</v>
      </c>
      <c r="L194" s="37" t="s">
        <v>122</v>
      </c>
      <c r="M194" s="37" t="s">
        <v>136</v>
      </c>
      <c r="N194" s="37" t="s">
        <v>137</v>
      </c>
      <c r="O194" s="37" t="s">
        <v>122</v>
      </c>
      <c r="P194" s="37" t="s">
        <v>218</v>
      </c>
      <c r="Q194" s="37" t="s">
        <v>174</v>
      </c>
      <c r="R194" s="37" t="s">
        <v>219</v>
      </c>
      <c r="S194" s="37" t="s">
        <v>127</v>
      </c>
      <c r="T194" s="37" t="s">
        <v>127</v>
      </c>
      <c r="U194" s="37" t="s">
        <v>128</v>
      </c>
      <c r="V194" s="37" t="s">
        <v>137</v>
      </c>
      <c r="W194" s="37" t="s">
        <v>122</v>
      </c>
      <c r="X194" s="37"/>
      <c r="Y194" s="37"/>
      <c r="Z194" s="37"/>
      <c r="AA194" s="37">
        <v>0.2</v>
      </c>
    </row>
    <row r="195" spans="1:27" x14ac:dyDescent="0.25">
      <c r="A195" s="37" t="s">
        <v>656</v>
      </c>
      <c r="B195" s="37" t="s">
        <v>248</v>
      </c>
      <c r="C195" s="37" t="s">
        <v>659</v>
      </c>
      <c r="D195" s="37" t="s">
        <v>117</v>
      </c>
      <c r="E195" s="37" t="s">
        <v>137</v>
      </c>
      <c r="F195" s="37"/>
      <c r="G195" s="37" t="s">
        <v>119</v>
      </c>
      <c r="H195" s="37" t="s">
        <v>137</v>
      </c>
      <c r="I195" s="37" t="s">
        <v>660</v>
      </c>
      <c r="J195" s="37" t="s">
        <v>121</v>
      </c>
      <c r="K195" s="37" t="s">
        <v>161</v>
      </c>
      <c r="L195" s="37" t="s">
        <v>122</v>
      </c>
      <c r="M195" s="37" t="s">
        <v>123</v>
      </c>
      <c r="N195" s="37" t="s">
        <v>161</v>
      </c>
      <c r="O195" s="37" t="s">
        <v>122</v>
      </c>
      <c r="P195" s="37" t="s">
        <v>661</v>
      </c>
      <c r="Q195" s="37" t="s">
        <v>165</v>
      </c>
      <c r="R195" s="37" t="s">
        <v>219</v>
      </c>
      <c r="S195" s="37" t="s">
        <v>127</v>
      </c>
      <c r="T195" s="37" t="s">
        <v>175</v>
      </c>
      <c r="U195" s="37" t="s">
        <v>128</v>
      </c>
      <c r="V195" s="37" t="s">
        <v>161</v>
      </c>
      <c r="W195" s="37" t="s">
        <v>122</v>
      </c>
      <c r="X195" s="37"/>
      <c r="Y195" s="37"/>
      <c r="Z195" s="37"/>
      <c r="AA195" s="37">
        <v>0.2</v>
      </c>
    </row>
    <row r="196" spans="1:27" x14ac:dyDescent="0.25">
      <c r="A196" s="37" t="s">
        <v>656</v>
      </c>
      <c r="B196" s="37" t="s">
        <v>130</v>
      </c>
      <c r="C196" s="37" t="s">
        <v>662</v>
      </c>
      <c r="D196" s="37" t="s">
        <v>146</v>
      </c>
      <c r="E196" s="37" t="s">
        <v>137</v>
      </c>
      <c r="F196" s="37"/>
      <c r="G196" s="37" t="s">
        <v>147</v>
      </c>
      <c r="H196" s="37" t="s">
        <v>219</v>
      </c>
      <c r="I196" s="37" t="s">
        <v>148</v>
      </c>
      <c r="J196" s="37" t="s">
        <v>149</v>
      </c>
      <c r="K196" s="37" t="s">
        <v>73</v>
      </c>
      <c r="L196" s="37" t="s">
        <v>122</v>
      </c>
      <c r="M196" s="37" t="s">
        <v>136</v>
      </c>
      <c r="N196" s="37" t="s">
        <v>78</v>
      </c>
      <c r="O196" s="37" t="s">
        <v>122</v>
      </c>
      <c r="P196" s="37"/>
      <c r="Q196" s="37"/>
      <c r="R196" s="37"/>
      <c r="S196" s="37"/>
      <c r="T196" s="37"/>
      <c r="U196" s="37" t="s">
        <v>128</v>
      </c>
      <c r="V196" s="37" t="s">
        <v>78</v>
      </c>
      <c r="W196" s="37" t="s">
        <v>122</v>
      </c>
      <c r="X196" s="37" t="s">
        <v>136</v>
      </c>
      <c r="Y196" s="37" t="s">
        <v>78</v>
      </c>
      <c r="Z196" s="37"/>
      <c r="AA196" s="37">
        <v>0.2</v>
      </c>
    </row>
    <row r="197" spans="1:27" x14ac:dyDescent="0.25">
      <c r="A197" s="37" t="s">
        <v>663</v>
      </c>
      <c r="B197" s="37" t="s">
        <v>130</v>
      </c>
      <c r="C197" s="37" t="s">
        <v>664</v>
      </c>
      <c r="D197" s="37" t="s">
        <v>146</v>
      </c>
      <c r="E197" s="37" t="s">
        <v>137</v>
      </c>
      <c r="F197" s="37"/>
      <c r="G197" s="37" t="s">
        <v>147</v>
      </c>
      <c r="H197" s="37" t="s">
        <v>219</v>
      </c>
      <c r="I197" s="37" t="s">
        <v>148</v>
      </c>
      <c r="J197" s="37" t="s">
        <v>149</v>
      </c>
      <c r="K197" s="37" t="s">
        <v>73</v>
      </c>
      <c r="L197" s="37" t="s">
        <v>122</v>
      </c>
      <c r="M197" s="37" t="s">
        <v>136</v>
      </c>
      <c r="N197" s="37" t="s">
        <v>78</v>
      </c>
      <c r="O197" s="37" t="s">
        <v>122</v>
      </c>
      <c r="P197" s="37"/>
      <c r="Q197" s="37"/>
      <c r="R197" s="37"/>
      <c r="S197" s="37"/>
      <c r="T197" s="37"/>
      <c r="U197" s="37" t="s">
        <v>128</v>
      </c>
      <c r="V197" s="37" t="s">
        <v>78</v>
      </c>
      <c r="W197" s="37" t="s">
        <v>122</v>
      </c>
      <c r="X197" s="37" t="s">
        <v>136</v>
      </c>
      <c r="Y197" s="37" t="s">
        <v>78</v>
      </c>
      <c r="Z197" s="37"/>
      <c r="AA197" s="37">
        <v>0.2</v>
      </c>
    </row>
    <row r="198" spans="1:27" x14ac:dyDescent="0.25">
      <c r="A198" s="37" t="s">
        <v>152</v>
      </c>
      <c r="B198" s="37" t="s">
        <v>115</v>
      </c>
      <c r="C198" s="37" t="s">
        <v>665</v>
      </c>
      <c r="D198" s="37" t="s">
        <v>158</v>
      </c>
      <c r="E198" s="37" t="s">
        <v>137</v>
      </c>
      <c r="F198" s="37"/>
      <c r="G198" s="37" t="s">
        <v>119</v>
      </c>
      <c r="H198" s="37" t="s">
        <v>137</v>
      </c>
      <c r="I198" s="37" t="s">
        <v>666</v>
      </c>
      <c r="J198" s="37" t="s">
        <v>135</v>
      </c>
      <c r="K198" s="37" t="s">
        <v>137</v>
      </c>
      <c r="L198" s="37" t="s">
        <v>122</v>
      </c>
      <c r="M198" s="37" t="s">
        <v>136</v>
      </c>
      <c r="N198" s="37" t="s">
        <v>161</v>
      </c>
      <c r="O198" s="37" t="s">
        <v>122</v>
      </c>
      <c r="P198" s="37"/>
      <c r="Q198" s="37"/>
      <c r="R198" s="37"/>
      <c r="S198" s="37"/>
      <c r="T198" s="37"/>
      <c r="U198" s="37" t="s">
        <v>128</v>
      </c>
      <c r="V198" s="37" t="s">
        <v>161</v>
      </c>
      <c r="W198" s="37" t="s">
        <v>122</v>
      </c>
      <c r="X198" s="37"/>
      <c r="Y198" s="37"/>
      <c r="Z198" s="37"/>
      <c r="AA198" s="37">
        <v>0.2</v>
      </c>
    </row>
    <row r="199" spans="1:27" x14ac:dyDescent="0.25">
      <c r="A199" s="37" t="s">
        <v>667</v>
      </c>
      <c r="B199" s="37" t="s">
        <v>130</v>
      </c>
      <c r="C199" s="37" t="s">
        <v>668</v>
      </c>
      <c r="D199" s="37" t="s">
        <v>132</v>
      </c>
      <c r="E199" s="37" t="s">
        <v>137</v>
      </c>
      <c r="F199" s="37"/>
      <c r="G199" s="37" t="s">
        <v>119</v>
      </c>
      <c r="H199" s="37" t="s">
        <v>318</v>
      </c>
      <c r="I199" s="37" t="s">
        <v>669</v>
      </c>
      <c r="J199" s="37" t="s">
        <v>121</v>
      </c>
      <c r="K199" s="37" t="s">
        <v>318</v>
      </c>
      <c r="L199" s="37" t="s">
        <v>122</v>
      </c>
      <c r="M199" s="37" t="s">
        <v>136</v>
      </c>
      <c r="N199" s="37" t="s">
        <v>78</v>
      </c>
      <c r="O199" s="37" t="s">
        <v>122</v>
      </c>
      <c r="P199" s="37"/>
      <c r="Q199" s="37"/>
      <c r="R199" s="37"/>
      <c r="S199" s="37"/>
      <c r="T199" s="37"/>
      <c r="U199" s="37" t="s">
        <v>128</v>
      </c>
      <c r="V199" s="37" t="s">
        <v>78</v>
      </c>
      <c r="W199" s="37" t="s">
        <v>122</v>
      </c>
      <c r="X199" s="37"/>
      <c r="Y199" s="37"/>
      <c r="Z199" s="37"/>
      <c r="AA199" s="37">
        <v>0.2</v>
      </c>
    </row>
    <row r="200" spans="1:27" x14ac:dyDescent="0.25">
      <c r="A200" s="37" t="s">
        <v>663</v>
      </c>
      <c r="B200" s="37" t="s">
        <v>115</v>
      </c>
      <c r="C200" s="37" t="s">
        <v>670</v>
      </c>
      <c r="D200" s="37" t="s">
        <v>117</v>
      </c>
      <c r="E200" s="37" t="s">
        <v>137</v>
      </c>
      <c r="F200" s="37"/>
      <c r="G200" s="37" t="s">
        <v>119</v>
      </c>
      <c r="H200" s="37" t="s">
        <v>137</v>
      </c>
      <c r="I200" s="37" t="s">
        <v>671</v>
      </c>
      <c r="J200" s="37" t="s">
        <v>121</v>
      </c>
      <c r="K200" s="37" t="s">
        <v>161</v>
      </c>
      <c r="L200" s="37" t="s">
        <v>122</v>
      </c>
      <c r="M200" s="37" t="s">
        <v>123</v>
      </c>
      <c r="N200" s="37" t="s">
        <v>161</v>
      </c>
      <c r="O200" s="37" t="s">
        <v>122</v>
      </c>
      <c r="P200" s="37" t="s">
        <v>547</v>
      </c>
      <c r="Q200" s="37" t="s">
        <v>125</v>
      </c>
      <c r="R200" s="37" t="s">
        <v>427</v>
      </c>
      <c r="S200" s="37" t="s">
        <v>127</v>
      </c>
      <c r="T200" s="37" t="s">
        <v>127</v>
      </c>
      <c r="U200" s="37" t="s">
        <v>128</v>
      </c>
      <c r="V200" s="37" t="s">
        <v>161</v>
      </c>
      <c r="W200" s="37" t="s">
        <v>122</v>
      </c>
      <c r="X200" s="37"/>
      <c r="Y200" s="37"/>
      <c r="Z200" s="37"/>
      <c r="AA200" s="37">
        <v>0.2</v>
      </c>
    </row>
    <row r="201" spans="1:27" x14ac:dyDescent="0.25">
      <c r="A201" s="37" t="s">
        <v>667</v>
      </c>
      <c r="B201" s="37" t="s">
        <v>115</v>
      </c>
      <c r="C201" s="37" t="s">
        <v>672</v>
      </c>
      <c r="D201" s="37" t="s">
        <v>466</v>
      </c>
      <c r="E201" s="37" t="s">
        <v>137</v>
      </c>
      <c r="F201" s="37"/>
      <c r="G201" s="37" t="s">
        <v>365</v>
      </c>
      <c r="H201" s="37" t="s">
        <v>137</v>
      </c>
      <c r="I201" s="37" t="s">
        <v>148</v>
      </c>
      <c r="J201" s="37" t="s">
        <v>135</v>
      </c>
      <c r="K201" s="37" t="s">
        <v>187</v>
      </c>
      <c r="L201" s="37" t="s">
        <v>122</v>
      </c>
      <c r="M201" s="37" t="s">
        <v>136</v>
      </c>
      <c r="N201" s="37" t="s">
        <v>341</v>
      </c>
      <c r="O201" s="37" t="s">
        <v>122</v>
      </c>
      <c r="P201" s="37" t="s">
        <v>469</v>
      </c>
      <c r="Q201" s="37" t="s">
        <v>125</v>
      </c>
      <c r="R201" s="37" t="s">
        <v>73</v>
      </c>
      <c r="S201" s="37" t="s">
        <v>127</v>
      </c>
      <c r="T201" s="37" t="s">
        <v>127</v>
      </c>
      <c r="U201" s="37" t="s">
        <v>128</v>
      </c>
      <c r="V201" s="37" t="s">
        <v>341</v>
      </c>
      <c r="W201" s="37" t="s">
        <v>122</v>
      </c>
      <c r="X201" s="37" t="s">
        <v>470</v>
      </c>
      <c r="Y201" s="37" t="s">
        <v>78</v>
      </c>
      <c r="Z201" s="37"/>
      <c r="AA201" s="37">
        <v>0.2</v>
      </c>
    </row>
    <row r="202" spans="1:27" x14ac:dyDescent="0.25">
      <c r="A202" s="37" t="s">
        <v>656</v>
      </c>
      <c r="B202" s="37" t="s">
        <v>162</v>
      </c>
      <c r="C202" s="37" t="s">
        <v>673</v>
      </c>
      <c r="D202" s="37" t="s">
        <v>117</v>
      </c>
      <c r="E202" s="37" t="s">
        <v>137</v>
      </c>
      <c r="F202" s="37"/>
      <c r="G202" s="37" t="s">
        <v>119</v>
      </c>
      <c r="H202" s="37" t="s">
        <v>137</v>
      </c>
      <c r="I202" s="37" t="s">
        <v>674</v>
      </c>
      <c r="J202" s="37" t="s">
        <v>121</v>
      </c>
      <c r="K202" s="37" t="s">
        <v>78</v>
      </c>
      <c r="L202" s="37" t="s">
        <v>122</v>
      </c>
      <c r="M202" s="37" t="s">
        <v>123</v>
      </c>
      <c r="N202" s="37" t="s">
        <v>78</v>
      </c>
      <c r="O202" s="37" t="s">
        <v>122</v>
      </c>
      <c r="P202" s="37" t="s">
        <v>675</v>
      </c>
      <c r="Q202" s="37" t="s">
        <v>165</v>
      </c>
      <c r="R202" s="37" t="s">
        <v>427</v>
      </c>
      <c r="S202" s="37" t="s">
        <v>127</v>
      </c>
      <c r="T202" s="37" t="s">
        <v>175</v>
      </c>
      <c r="U202" s="37" t="s">
        <v>128</v>
      </c>
      <c r="V202" s="37" t="s">
        <v>78</v>
      </c>
      <c r="W202" s="37" t="s">
        <v>122</v>
      </c>
      <c r="X202" s="37"/>
      <c r="Y202" s="37"/>
      <c r="Z202" s="37"/>
      <c r="AA202" s="37">
        <v>0.2</v>
      </c>
    </row>
    <row r="203" spans="1:27" x14ac:dyDescent="0.25">
      <c r="A203" s="37" t="s">
        <v>656</v>
      </c>
      <c r="B203" s="37" t="s">
        <v>251</v>
      </c>
      <c r="C203" s="37" t="s">
        <v>676</v>
      </c>
      <c r="D203" s="37" t="s">
        <v>117</v>
      </c>
      <c r="E203" s="37" t="s">
        <v>137</v>
      </c>
      <c r="F203" s="37"/>
      <c r="G203" s="37" t="s">
        <v>119</v>
      </c>
      <c r="H203" s="37" t="s">
        <v>137</v>
      </c>
      <c r="I203" s="37" t="s">
        <v>677</v>
      </c>
      <c r="J203" s="37" t="s">
        <v>121</v>
      </c>
      <c r="K203" s="37" t="s">
        <v>161</v>
      </c>
      <c r="L203" s="37" t="s">
        <v>122</v>
      </c>
      <c r="M203" s="37" t="s">
        <v>123</v>
      </c>
      <c r="N203" s="37" t="s">
        <v>161</v>
      </c>
      <c r="O203" s="37" t="s">
        <v>122</v>
      </c>
      <c r="P203" s="37" t="s">
        <v>405</v>
      </c>
      <c r="Q203" s="37" t="s">
        <v>165</v>
      </c>
      <c r="R203" s="37" t="s">
        <v>219</v>
      </c>
      <c r="S203" s="37" t="s">
        <v>127</v>
      </c>
      <c r="T203" s="37" t="s">
        <v>175</v>
      </c>
      <c r="U203" s="37" t="s">
        <v>128</v>
      </c>
      <c r="V203" s="37" t="s">
        <v>161</v>
      </c>
      <c r="W203" s="37" t="s">
        <v>122</v>
      </c>
      <c r="X203" s="37"/>
      <c r="Y203" s="37"/>
      <c r="Z203" s="37"/>
      <c r="AA203" s="37">
        <v>0.2</v>
      </c>
    </row>
    <row r="204" spans="1:27" x14ac:dyDescent="0.25">
      <c r="A204" s="37" t="s">
        <v>663</v>
      </c>
      <c r="B204" s="37" t="s">
        <v>248</v>
      </c>
      <c r="C204" s="37" t="s">
        <v>678</v>
      </c>
      <c r="D204" s="37" t="s">
        <v>117</v>
      </c>
      <c r="E204" s="37" t="s">
        <v>137</v>
      </c>
      <c r="F204" s="37"/>
      <c r="G204" s="37" t="s">
        <v>119</v>
      </c>
      <c r="H204" s="37" t="s">
        <v>137</v>
      </c>
      <c r="I204" s="37" t="s">
        <v>677</v>
      </c>
      <c r="J204" s="37" t="s">
        <v>121</v>
      </c>
      <c r="K204" s="37" t="s">
        <v>161</v>
      </c>
      <c r="L204" s="37" t="s">
        <v>122</v>
      </c>
      <c r="M204" s="37" t="s">
        <v>123</v>
      </c>
      <c r="N204" s="37" t="s">
        <v>161</v>
      </c>
      <c r="O204" s="37" t="s">
        <v>122</v>
      </c>
      <c r="P204" s="37" t="s">
        <v>661</v>
      </c>
      <c r="Q204" s="37" t="s">
        <v>165</v>
      </c>
      <c r="R204" s="37" t="s">
        <v>219</v>
      </c>
      <c r="S204" s="37" t="s">
        <v>127</v>
      </c>
      <c r="T204" s="37" t="s">
        <v>175</v>
      </c>
      <c r="U204" s="37" t="s">
        <v>128</v>
      </c>
      <c r="V204" s="37" t="s">
        <v>161</v>
      </c>
      <c r="W204" s="37" t="s">
        <v>122</v>
      </c>
      <c r="X204" s="37"/>
      <c r="Y204" s="37"/>
      <c r="Z204" s="37"/>
      <c r="AA204" s="37">
        <v>0.2</v>
      </c>
    </row>
    <row r="205" spans="1:27" x14ac:dyDescent="0.25">
      <c r="A205" s="37" t="s">
        <v>679</v>
      </c>
      <c r="B205" s="37" t="s">
        <v>130</v>
      </c>
      <c r="C205" s="37" t="s">
        <v>680</v>
      </c>
      <c r="D205" s="37" t="s">
        <v>132</v>
      </c>
      <c r="E205" s="37" t="s">
        <v>137</v>
      </c>
      <c r="F205" s="37"/>
      <c r="G205" s="37" t="s">
        <v>119</v>
      </c>
      <c r="H205" s="37" t="s">
        <v>318</v>
      </c>
      <c r="I205" s="37" t="s">
        <v>681</v>
      </c>
      <c r="J205" s="37" t="s">
        <v>121</v>
      </c>
      <c r="K205" s="37" t="s">
        <v>318</v>
      </c>
      <c r="L205" s="37" t="s">
        <v>122</v>
      </c>
      <c r="M205" s="37" t="s">
        <v>136</v>
      </c>
      <c r="N205" s="37" t="s">
        <v>78</v>
      </c>
      <c r="O205" s="37" t="s">
        <v>122</v>
      </c>
      <c r="P205" s="37"/>
      <c r="Q205" s="37"/>
      <c r="R205" s="37"/>
      <c r="S205" s="37"/>
      <c r="T205" s="37"/>
      <c r="U205" s="37" t="s">
        <v>128</v>
      </c>
      <c r="V205" s="37" t="s">
        <v>78</v>
      </c>
      <c r="W205" s="37" t="s">
        <v>122</v>
      </c>
      <c r="X205" s="37"/>
      <c r="Y205" s="37"/>
      <c r="Z205" s="37"/>
      <c r="AA205" s="37">
        <v>0.2</v>
      </c>
    </row>
    <row r="206" spans="1:27" x14ac:dyDescent="0.25">
      <c r="A206" s="37" t="s">
        <v>663</v>
      </c>
      <c r="B206" s="37" t="s">
        <v>162</v>
      </c>
      <c r="C206" s="37" t="s">
        <v>682</v>
      </c>
      <c r="D206" s="37" t="s">
        <v>117</v>
      </c>
      <c r="E206" s="37" t="s">
        <v>137</v>
      </c>
      <c r="F206" s="37"/>
      <c r="G206" s="37" t="s">
        <v>119</v>
      </c>
      <c r="H206" s="37" t="s">
        <v>137</v>
      </c>
      <c r="I206" s="37" t="s">
        <v>683</v>
      </c>
      <c r="J206" s="37" t="s">
        <v>121</v>
      </c>
      <c r="K206" s="37" t="s">
        <v>161</v>
      </c>
      <c r="L206" s="37" t="s">
        <v>122</v>
      </c>
      <c r="M206" s="37" t="s">
        <v>123</v>
      </c>
      <c r="N206" s="37" t="s">
        <v>161</v>
      </c>
      <c r="O206" s="37" t="s">
        <v>122</v>
      </c>
      <c r="P206" s="37" t="s">
        <v>510</v>
      </c>
      <c r="Q206" s="37" t="s">
        <v>165</v>
      </c>
      <c r="R206" s="37" t="s">
        <v>219</v>
      </c>
      <c r="S206" s="37" t="s">
        <v>175</v>
      </c>
      <c r="T206" s="37" t="s">
        <v>175</v>
      </c>
      <c r="U206" s="37" t="s">
        <v>128</v>
      </c>
      <c r="V206" s="37" t="s">
        <v>161</v>
      </c>
      <c r="W206" s="37" t="s">
        <v>122</v>
      </c>
      <c r="X206" s="37"/>
      <c r="Y206" s="37"/>
      <c r="Z206" s="37"/>
      <c r="AA206" s="37">
        <v>0.2</v>
      </c>
    </row>
    <row r="207" spans="1:27" x14ac:dyDescent="0.25">
      <c r="A207" s="37" t="s">
        <v>684</v>
      </c>
      <c r="B207" s="37" t="s">
        <v>130</v>
      </c>
      <c r="C207" s="37" t="s">
        <v>685</v>
      </c>
      <c r="D207" s="37" t="s">
        <v>132</v>
      </c>
      <c r="E207" s="37" t="s">
        <v>137</v>
      </c>
      <c r="F207" s="37"/>
      <c r="G207" s="37" t="s">
        <v>119</v>
      </c>
      <c r="H207" s="37" t="s">
        <v>318</v>
      </c>
      <c r="I207" s="37" t="s">
        <v>686</v>
      </c>
      <c r="J207" s="37" t="s">
        <v>121</v>
      </c>
      <c r="K207" s="37" t="s">
        <v>318</v>
      </c>
      <c r="L207" s="37" t="s">
        <v>122</v>
      </c>
      <c r="M207" s="37" t="s">
        <v>136</v>
      </c>
      <c r="N207" s="37" t="s">
        <v>78</v>
      </c>
      <c r="O207" s="37" t="s">
        <v>122</v>
      </c>
      <c r="P207" s="37"/>
      <c r="Q207" s="37"/>
      <c r="R207" s="37"/>
      <c r="S207" s="37"/>
      <c r="T207" s="37"/>
      <c r="U207" s="37" t="s">
        <v>128</v>
      </c>
      <c r="V207" s="37" t="s">
        <v>78</v>
      </c>
      <c r="W207" s="37" t="s">
        <v>122</v>
      </c>
      <c r="X207" s="37"/>
      <c r="Y207" s="37"/>
      <c r="Z207" s="37"/>
      <c r="AA207" s="37">
        <v>0.2</v>
      </c>
    </row>
    <row r="208" spans="1:27" x14ac:dyDescent="0.25">
      <c r="A208" s="37" t="s">
        <v>679</v>
      </c>
      <c r="B208" s="37" t="s">
        <v>115</v>
      </c>
      <c r="C208" s="37" t="s">
        <v>687</v>
      </c>
      <c r="D208" s="37" t="s">
        <v>466</v>
      </c>
      <c r="E208" s="37" t="s">
        <v>137</v>
      </c>
      <c r="F208" s="37"/>
      <c r="G208" s="37" t="s">
        <v>119</v>
      </c>
      <c r="H208" s="37" t="s">
        <v>187</v>
      </c>
      <c r="I208" s="37" t="s">
        <v>688</v>
      </c>
      <c r="J208" s="37" t="s">
        <v>135</v>
      </c>
      <c r="K208" s="37" t="s">
        <v>187</v>
      </c>
      <c r="L208" s="37" t="s">
        <v>122</v>
      </c>
      <c r="M208" s="37" t="s">
        <v>136</v>
      </c>
      <c r="N208" s="37" t="s">
        <v>341</v>
      </c>
      <c r="O208" s="37" t="s">
        <v>122</v>
      </c>
      <c r="P208" s="37" t="s">
        <v>469</v>
      </c>
      <c r="Q208" s="37" t="s">
        <v>125</v>
      </c>
      <c r="R208" s="37" t="s">
        <v>73</v>
      </c>
      <c r="S208" s="37" t="s">
        <v>127</v>
      </c>
      <c r="T208" s="37" t="s">
        <v>127</v>
      </c>
      <c r="U208" s="37" t="s">
        <v>128</v>
      </c>
      <c r="V208" s="37" t="s">
        <v>341</v>
      </c>
      <c r="W208" s="37" t="s">
        <v>122</v>
      </c>
      <c r="X208" s="37" t="s">
        <v>470</v>
      </c>
      <c r="Y208" s="37" t="s">
        <v>78</v>
      </c>
      <c r="Z208" s="37" t="s">
        <v>471</v>
      </c>
      <c r="AA208" s="37">
        <v>0.2</v>
      </c>
    </row>
    <row r="209" spans="1:27" x14ac:dyDescent="0.25">
      <c r="A209" s="37" t="s">
        <v>656</v>
      </c>
      <c r="B209" s="37" t="s">
        <v>362</v>
      </c>
      <c r="C209" s="37" t="s">
        <v>689</v>
      </c>
      <c r="D209" s="37" t="s">
        <v>123</v>
      </c>
      <c r="E209" s="37" t="s">
        <v>137</v>
      </c>
      <c r="F209" s="37"/>
      <c r="G209" s="37" t="s">
        <v>365</v>
      </c>
      <c r="H209" s="37" t="s">
        <v>187</v>
      </c>
      <c r="I209" s="37" t="s">
        <v>148</v>
      </c>
      <c r="J209" s="37" t="s">
        <v>149</v>
      </c>
      <c r="K209" s="37" t="s">
        <v>187</v>
      </c>
      <c r="L209" s="37" t="s">
        <v>122</v>
      </c>
      <c r="M209" s="37" t="s">
        <v>123</v>
      </c>
      <c r="N209" s="37" t="s">
        <v>187</v>
      </c>
      <c r="O209" s="37" t="s">
        <v>122</v>
      </c>
      <c r="P209" s="37" t="s">
        <v>564</v>
      </c>
      <c r="Q209" s="37" t="s">
        <v>440</v>
      </c>
      <c r="R209" s="37" t="s">
        <v>81</v>
      </c>
      <c r="S209" s="37" t="s">
        <v>127</v>
      </c>
      <c r="T209" s="37" t="s">
        <v>127</v>
      </c>
      <c r="U209" s="37" t="s">
        <v>128</v>
      </c>
      <c r="V209" s="37" t="s">
        <v>187</v>
      </c>
      <c r="W209" s="37" t="s">
        <v>122</v>
      </c>
      <c r="X209" s="37" t="s">
        <v>123</v>
      </c>
      <c r="Y209" s="37" t="s">
        <v>81</v>
      </c>
      <c r="Z209" s="37"/>
      <c r="AA209" s="37">
        <v>0.2</v>
      </c>
    </row>
    <row r="210" spans="1:27" x14ac:dyDescent="0.25">
      <c r="A210" s="37" t="s">
        <v>690</v>
      </c>
      <c r="B210" s="37" t="s">
        <v>130</v>
      </c>
      <c r="C210" s="37" t="s">
        <v>691</v>
      </c>
      <c r="D210" s="37" t="s">
        <v>132</v>
      </c>
      <c r="E210" s="37" t="s">
        <v>137</v>
      </c>
      <c r="F210" s="37"/>
      <c r="G210" s="37" t="s">
        <v>119</v>
      </c>
      <c r="H210" s="37" t="s">
        <v>318</v>
      </c>
      <c r="I210" s="37" t="s">
        <v>692</v>
      </c>
      <c r="J210" s="37" t="s">
        <v>121</v>
      </c>
      <c r="K210" s="37" t="s">
        <v>318</v>
      </c>
      <c r="L210" s="37" t="s">
        <v>122</v>
      </c>
      <c r="M210" s="37" t="s">
        <v>136</v>
      </c>
      <c r="N210" s="37" t="s">
        <v>78</v>
      </c>
      <c r="O210" s="37" t="s">
        <v>122</v>
      </c>
      <c r="P210" s="37"/>
      <c r="Q210" s="37"/>
      <c r="R210" s="37"/>
      <c r="S210" s="37"/>
      <c r="T210" s="37"/>
      <c r="U210" s="37" t="s">
        <v>128</v>
      </c>
      <c r="V210" s="37" t="s">
        <v>78</v>
      </c>
      <c r="W210" s="37" t="s">
        <v>122</v>
      </c>
      <c r="X210" s="37" t="s">
        <v>136</v>
      </c>
      <c r="Y210" s="37" t="s">
        <v>78</v>
      </c>
      <c r="Z210" s="37"/>
      <c r="AA210" s="37">
        <v>0.2</v>
      </c>
    </row>
    <row r="211" spans="1:27" x14ac:dyDescent="0.25">
      <c r="A211" s="37" t="s">
        <v>656</v>
      </c>
      <c r="B211" s="37" t="s">
        <v>529</v>
      </c>
      <c r="C211" s="37" t="s">
        <v>693</v>
      </c>
      <c r="D211" s="37" t="s">
        <v>457</v>
      </c>
      <c r="E211" s="37" t="s">
        <v>137</v>
      </c>
      <c r="F211" s="37"/>
      <c r="G211" s="37" t="s">
        <v>119</v>
      </c>
      <c r="H211" s="37" t="s">
        <v>219</v>
      </c>
      <c r="I211" s="37" t="s">
        <v>694</v>
      </c>
      <c r="J211" s="37" t="s">
        <v>135</v>
      </c>
      <c r="K211" s="37" t="s">
        <v>318</v>
      </c>
      <c r="L211" s="37" t="s">
        <v>122</v>
      </c>
      <c r="M211" s="37" t="s">
        <v>136</v>
      </c>
      <c r="N211" s="37" t="s">
        <v>78</v>
      </c>
      <c r="O211" s="37" t="s">
        <v>122</v>
      </c>
      <c r="P211" s="37"/>
      <c r="Q211" s="37"/>
      <c r="R211" s="37"/>
      <c r="S211" s="37"/>
      <c r="T211" s="37"/>
      <c r="U211" s="37" t="s">
        <v>128</v>
      </c>
      <c r="V211" s="37" t="s">
        <v>78</v>
      </c>
      <c r="W211" s="37" t="s">
        <v>122</v>
      </c>
      <c r="X211" s="37" t="s">
        <v>136</v>
      </c>
      <c r="Y211" s="37"/>
      <c r="Z211" s="37"/>
      <c r="AA211" s="37">
        <v>0.2</v>
      </c>
    </row>
    <row r="212" spans="1:27" x14ac:dyDescent="0.25">
      <c r="A212" s="37" t="s">
        <v>695</v>
      </c>
      <c r="B212" s="37" t="s">
        <v>251</v>
      </c>
      <c r="C212" s="37" t="s">
        <v>696</v>
      </c>
      <c r="D212" s="37" t="s">
        <v>117</v>
      </c>
      <c r="E212" s="37" t="s">
        <v>161</v>
      </c>
      <c r="F212" s="37"/>
      <c r="G212" s="37" t="s">
        <v>119</v>
      </c>
      <c r="H212" s="37" t="s">
        <v>427</v>
      </c>
      <c r="I212" s="37" t="s">
        <v>697</v>
      </c>
      <c r="J212" s="37" t="s">
        <v>121</v>
      </c>
      <c r="K212" s="37" t="s">
        <v>427</v>
      </c>
      <c r="L212" s="37" t="s">
        <v>122</v>
      </c>
      <c r="M212" s="37" t="s">
        <v>123</v>
      </c>
      <c r="N212" s="37" t="s">
        <v>698</v>
      </c>
      <c r="O212" s="37" t="s">
        <v>122</v>
      </c>
      <c r="P212" s="37"/>
      <c r="Q212" s="37"/>
      <c r="R212" s="37"/>
      <c r="S212" s="37"/>
      <c r="T212" s="37"/>
      <c r="U212" s="37" t="s">
        <v>128</v>
      </c>
      <c r="V212" s="37" t="s">
        <v>698</v>
      </c>
      <c r="W212" s="37" t="s">
        <v>122</v>
      </c>
      <c r="X212" s="37"/>
      <c r="Y212" s="37"/>
      <c r="Z212" s="37"/>
      <c r="AA212" s="37">
        <v>0.2</v>
      </c>
    </row>
    <row r="213" spans="1:27" x14ac:dyDescent="0.25">
      <c r="A213" s="37" t="s">
        <v>695</v>
      </c>
      <c r="B213" s="37" t="s">
        <v>242</v>
      </c>
      <c r="C213" s="37" t="s">
        <v>699</v>
      </c>
      <c r="D213" s="37" t="s">
        <v>178</v>
      </c>
      <c r="E213" s="37" t="s">
        <v>161</v>
      </c>
      <c r="F213" s="37" t="s">
        <v>700</v>
      </c>
      <c r="G213" s="37" t="s">
        <v>119</v>
      </c>
      <c r="H213" s="37" t="s">
        <v>187</v>
      </c>
      <c r="I213" s="37" t="s">
        <v>701</v>
      </c>
      <c r="J213" s="37" t="s">
        <v>121</v>
      </c>
      <c r="K213" s="37" t="s">
        <v>187</v>
      </c>
      <c r="L213" s="37" t="s">
        <v>122</v>
      </c>
      <c r="M213" s="37" t="s">
        <v>123</v>
      </c>
      <c r="N213" s="37" t="s">
        <v>427</v>
      </c>
      <c r="O213" s="37" t="s">
        <v>122</v>
      </c>
      <c r="P213" s="37"/>
      <c r="Q213" s="37"/>
      <c r="R213" s="37"/>
      <c r="S213" s="37"/>
      <c r="T213" s="37"/>
      <c r="U213" s="37" t="s">
        <v>128</v>
      </c>
      <c r="V213" s="37" t="s">
        <v>427</v>
      </c>
      <c r="W213" s="37" t="s">
        <v>122</v>
      </c>
      <c r="X213" s="37"/>
      <c r="Y213" s="37"/>
      <c r="Z213" s="37"/>
      <c r="AA213" s="37">
        <v>0.2</v>
      </c>
    </row>
    <row r="214" spans="1:27" x14ac:dyDescent="0.25">
      <c r="A214" s="37" t="s">
        <v>695</v>
      </c>
      <c r="B214" s="37" t="s">
        <v>532</v>
      </c>
      <c r="C214" s="37" t="s">
        <v>702</v>
      </c>
      <c r="D214" s="37" t="s">
        <v>117</v>
      </c>
      <c r="E214" s="37" t="s">
        <v>161</v>
      </c>
      <c r="F214" s="37"/>
      <c r="G214" s="37" t="s">
        <v>119</v>
      </c>
      <c r="H214" s="37" t="s">
        <v>427</v>
      </c>
      <c r="I214" s="37" t="s">
        <v>703</v>
      </c>
      <c r="J214" s="37" t="s">
        <v>121</v>
      </c>
      <c r="K214" s="37" t="s">
        <v>427</v>
      </c>
      <c r="L214" s="37" t="s">
        <v>122</v>
      </c>
      <c r="M214" s="37" t="s">
        <v>123</v>
      </c>
      <c r="N214" s="37" t="s">
        <v>698</v>
      </c>
      <c r="O214" s="37" t="s">
        <v>122</v>
      </c>
      <c r="P214" s="37"/>
      <c r="Q214" s="37"/>
      <c r="R214" s="37"/>
      <c r="S214" s="37"/>
      <c r="T214" s="37"/>
      <c r="U214" s="37" t="s">
        <v>128</v>
      </c>
      <c r="V214" s="37" t="s">
        <v>698</v>
      </c>
      <c r="W214" s="37" t="s">
        <v>122</v>
      </c>
      <c r="X214" s="37"/>
      <c r="Y214" s="37"/>
      <c r="Z214" s="37"/>
      <c r="AA214" s="37">
        <v>0.2</v>
      </c>
    </row>
    <row r="215" spans="1:27" x14ac:dyDescent="0.25">
      <c r="A215" s="37" t="s">
        <v>695</v>
      </c>
      <c r="B215" s="37" t="s">
        <v>484</v>
      </c>
      <c r="C215" s="37" t="s">
        <v>704</v>
      </c>
      <c r="D215" s="37" t="s">
        <v>185</v>
      </c>
      <c r="E215" s="37" t="s">
        <v>161</v>
      </c>
      <c r="F215" s="37"/>
      <c r="G215" s="37" t="s">
        <v>119</v>
      </c>
      <c r="H215" s="37" t="s">
        <v>161</v>
      </c>
      <c r="I215" s="37" t="s">
        <v>705</v>
      </c>
      <c r="J215" s="37" t="s">
        <v>135</v>
      </c>
      <c r="K215" s="37" t="s">
        <v>187</v>
      </c>
      <c r="L215" s="37" t="s">
        <v>122</v>
      </c>
      <c r="M215" s="37" t="s">
        <v>136</v>
      </c>
      <c r="N215" s="37" t="s">
        <v>187</v>
      </c>
      <c r="O215" s="37" t="s">
        <v>122</v>
      </c>
      <c r="P215" s="37"/>
      <c r="Q215" s="37"/>
      <c r="R215" s="37"/>
      <c r="S215" s="37"/>
      <c r="T215" s="37"/>
      <c r="U215" s="37" t="s">
        <v>128</v>
      </c>
      <c r="V215" s="37" t="s">
        <v>187</v>
      </c>
      <c r="W215" s="37" t="s">
        <v>122</v>
      </c>
      <c r="X215" s="37"/>
      <c r="Y215" s="37"/>
      <c r="Z215" s="37"/>
      <c r="AA215" s="37">
        <v>0.2</v>
      </c>
    </row>
    <row r="216" spans="1:27" x14ac:dyDescent="0.25">
      <c r="A216" s="37" t="s">
        <v>695</v>
      </c>
      <c r="B216" s="37" t="s">
        <v>259</v>
      </c>
      <c r="C216" s="37" t="s">
        <v>706</v>
      </c>
      <c r="D216" s="37" t="s">
        <v>169</v>
      </c>
      <c r="E216" s="37" t="s">
        <v>161</v>
      </c>
      <c r="F216" s="37" t="s">
        <v>707</v>
      </c>
      <c r="G216" s="37" t="s">
        <v>119</v>
      </c>
      <c r="H216" s="37" t="s">
        <v>187</v>
      </c>
      <c r="I216" s="37" t="s">
        <v>708</v>
      </c>
      <c r="J216" s="37" t="s">
        <v>121</v>
      </c>
      <c r="K216" s="37" t="s">
        <v>318</v>
      </c>
      <c r="L216" s="37" t="s">
        <v>122</v>
      </c>
      <c r="M216" s="37" t="s">
        <v>123</v>
      </c>
      <c r="N216" s="37" t="s">
        <v>73</v>
      </c>
      <c r="O216" s="37" t="s">
        <v>122</v>
      </c>
      <c r="P216" s="37"/>
      <c r="Q216" s="37"/>
      <c r="R216" s="37"/>
      <c r="S216" s="37"/>
      <c r="T216" s="37"/>
      <c r="U216" s="37" t="s">
        <v>128</v>
      </c>
      <c r="V216" s="37" t="s">
        <v>73</v>
      </c>
      <c r="W216" s="37" t="s">
        <v>122</v>
      </c>
      <c r="X216" s="37"/>
      <c r="Y216" s="37"/>
      <c r="Z216" s="37" t="s">
        <v>709</v>
      </c>
      <c r="AA216" s="37">
        <v>0.2</v>
      </c>
    </row>
    <row r="217" spans="1:27" x14ac:dyDescent="0.25">
      <c r="A217" s="37" t="s">
        <v>695</v>
      </c>
      <c r="B217" s="37" t="s">
        <v>130</v>
      </c>
      <c r="C217" s="37" t="s">
        <v>710</v>
      </c>
      <c r="D217" s="37" t="s">
        <v>146</v>
      </c>
      <c r="E217" s="37" t="s">
        <v>161</v>
      </c>
      <c r="F217" s="37"/>
      <c r="G217" s="37" t="s">
        <v>147</v>
      </c>
      <c r="H217" s="37" t="s">
        <v>219</v>
      </c>
      <c r="I217" s="37" t="s">
        <v>148</v>
      </c>
      <c r="J217" s="37" t="s">
        <v>149</v>
      </c>
      <c r="K217" s="37" t="s">
        <v>73</v>
      </c>
      <c r="L217" s="37" t="s">
        <v>122</v>
      </c>
      <c r="M217" s="37" t="s">
        <v>136</v>
      </c>
      <c r="N217" s="37" t="s">
        <v>78</v>
      </c>
      <c r="O217" s="37" t="s">
        <v>122</v>
      </c>
      <c r="P217" s="37"/>
      <c r="Q217" s="37"/>
      <c r="R217" s="37"/>
      <c r="S217" s="37"/>
      <c r="T217" s="37"/>
      <c r="U217" s="37" t="s">
        <v>128</v>
      </c>
      <c r="V217" s="37" t="s">
        <v>78</v>
      </c>
      <c r="W217" s="37" t="s">
        <v>122</v>
      </c>
      <c r="X217" s="37" t="s">
        <v>136</v>
      </c>
      <c r="Y217" s="37" t="s">
        <v>78</v>
      </c>
      <c r="Z217" s="37"/>
      <c r="AA217" s="37">
        <v>0.2</v>
      </c>
    </row>
    <row r="218" spans="1:27" x14ac:dyDescent="0.25">
      <c r="A218" s="37" t="s">
        <v>711</v>
      </c>
      <c r="B218" s="37" t="s">
        <v>115</v>
      </c>
      <c r="C218" s="37" t="s">
        <v>712</v>
      </c>
      <c r="D218" s="37" t="s">
        <v>466</v>
      </c>
      <c r="E218" s="37" t="s">
        <v>161</v>
      </c>
      <c r="F218" s="37" t="s">
        <v>713</v>
      </c>
      <c r="G218" s="37" t="s">
        <v>119</v>
      </c>
      <c r="H218" s="37" t="s">
        <v>187</v>
      </c>
      <c r="I218" s="37" t="s">
        <v>714</v>
      </c>
      <c r="J218" s="37" t="s">
        <v>135</v>
      </c>
      <c r="K218" s="37" t="s">
        <v>341</v>
      </c>
      <c r="L218" s="37" t="s">
        <v>122</v>
      </c>
      <c r="M218" s="37" t="s">
        <v>136</v>
      </c>
      <c r="N218" s="37" t="s">
        <v>341</v>
      </c>
      <c r="O218" s="37" t="s">
        <v>122</v>
      </c>
      <c r="P218" s="37" t="s">
        <v>469</v>
      </c>
      <c r="Q218" s="37" t="s">
        <v>125</v>
      </c>
      <c r="R218" s="37" t="s">
        <v>73</v>
      </c>
      <c r="S218" s="37" t="s">
        <v>127</v>
      </c>
      <c r="T218" s="37" t="s">
        <v>127</v>
      </c>
      <c r="U218" s="37" t="s">
        <v>128</v>
      </c>
      <c r="V218" s="37" t="s">
        <v>341</v>
      </c>
      <c r="W218" s="37" t="s">
        <v>122</v>
      </c>
      <c r="X218" s="37" t="s">
        <v>470</v>
      </c>
      <c r="Y218" s="37" t="s">
        <v>78</v>
      </c>
      <c r="Z218" s="37" t="s">
        <v>471</v>
      </c>
      <c r="AA218" s="37">
        <v>0.2</v>
      </c>
    </row>
    <row r="219" spans="1:27" x14ac:dyDescent="0.25">
      <c r="A219" s="37" t="s">
        <v>695</v>
      </c>
      <c r="B219" s="37" t="s">
        <v>362</v>
      </c>
      <c r="C219" s="37" t="s">
        <v>715</v>
      </c>
      <c r="D219" s="37" t="s">
        <v>123</v>
      </c>
      <c r="E219" s="37" t="s">
        <v>161</v>
      </c>
      <c r="F219" s="37"/>
      <c r="G219" s="37" t="s">
        <v>365</v>
      </c>
      <c r="H219" s="37" t="s">
        <v>187</v>
      </c>
      <c r="I219" s="37" t="s">
        <v>148</v>
      </c>
      <c r="J219" s="37" t="s">
        <v>149</v>
      </c>
      <c r="K219" s="37" t="s">
        <v>187</v>
      </c>
      <c r="L219" s="37" t="s">
        <v>122</v>
      </c>
      <c r="M219" s="37" t="s">
        <v>123</v>
      </c>
      <c r="N219" s="37" t="s">
        <v>187</v>
      </c>
      <c r="O219" s="37" t="s">
        <v>122</v>
      </c>
      <c r="P219" s="37" t="s">
        <v>564</v>
      </c>
      <c r="Q219" s="37" t="s">
        <v>440</v>
      </c>
      <c r="R219" s="37" t="s">
        <v>161</v>
      </c>
      <c r="S219" s="37" t="s">
        <v>127</v>
      </c>
      <c r="T219" s="37" t="s">
        <v>127</v>
      </c>
      <c r="U219" s="37" t="s">
        <v>128</v>
      </c>
      <c r="V219" s="37" t="s">
        <v>187</v>
      </c>
      <c r="W219" s="37" t="s">
        <v>122</v>
      </c>
      <c r="X219" s="37" t="s">
        <v>123</v>
      </c>
      <c r="Y219" s="37" t="s">
        <v>341</v>
      </c>
      <c r="Z219" s="37"/>
      <c r="AA219" s="37">
        <v>0.2</v>
      </c>
    </row>
    <row r="220" spans="1:27" x14ac:dyDescent="0.25">
      <c r="A220" s="37" t="s">
        <v>695</v>
      </c>
      <c r="B220" s="37" t="s">
        <v>162</v>
      </c>
      <c r="C220" s="37" t="s">
        <v>716</v>
      </c>
      <c r="D220" s="37" t="s">
        <v>117</v>
      </c>
      <c r="E220" s="37" t="s">
        <v>161</v>
      </c>
      <c r="F220" s="37"/>
      <c r="G220" s="37" t="s">
        <v>119</v>
      </c>
      <c r="H220" s="37" t="s">
        <v>427</v>
      </c>
      <c r="I220" s="37" t="s">
        <v>717</v>
      </c>
      <c r="J220" s="37" t="s">
        <v>121</v>
      </c>
      <c r="K220" s="37" t="s">
        <v>427</v>
      </c>
      <c r="L220" s="37" t="s">
        <v>122</v>
      </c>
      <c r="M220" s="37" t="s">
        <v>123</v>
      </c>
      <c r="N220" s="37" t="s">
        <v>698</v>
      </c>
      <c r="O220" s="37" t="s">
        <v>122</v>
      </c>
      <c r="P220" s="37"/>
      <c r="Q220" s="37"/>
      <c r="R220" s="37"/>
      <c r="S220" s="37"/>
      <c r="T220" s="37"/>
      <c r="U220" s="37" t="s">
        <v>128</v>
      </c>
      <c r="V220" s="37" t="s">
        <v>698</v>
      </c>
      <c r="W220" s="37" t="s">
        <v>122</v>
      </c>
      <c r="X220" s="37"/>
      <c r="Y220" s="37"/>
      <c r="Z220" s="37"/>
      <c r="AA220" s="37">
        <v>0.2</v>
      </c>
    </row>
    <row r="221" spans="1:27" x14ac:dyDescent="0.25">
      <c r="A221" s="37" t="s">
        <v>711</v>
      </c>
      <c r="B221" s="37" t="s">
        <v>130</v>
      </c>
      <c r="C221" s="37" t="s">
        <v>718</v>
      </c>
      <c r="D221" s="37" t="s">
        <v>146</v>
      </c>
      <c r="E221" s="37" t="s">
        <v>161</v>
      </c>
      <c r="F221" s="37"/>
      <c r="G221" s="37" t="s">
        <v>147</v>
      </c>
      <c r="H221" s="37" t="s">
        <v>219</v>
      </c>
      <c r="I221" s="37" t="s">
        <v>148</v>
      </c>
      <c r="J221" s="37" t="s">
        <v>149</v>
      </c>
      <c r="K221" s="37" t="s">
        <v>73</v>
      </c>
      <c r="L221" s="37" t="s">
        <v>122</v>
      </c>
      <c r="M221" s="37" t="s">
        <v>136</v>
      </c>
      <c r="N221" s="37" t="s">
        <v>78</v>
      </c>
      <c r="O221" s="37" t="s">
        <v>122</v>
      </c>
      <c r="P221" s="37"/>
      <c r="Q221" s="37"/>
      <c r="R221" s="37"/>
      <c r="S221" s="37"/>
      <c r="T221" s="37"/>
      <c r="U221" s="37" t="s">
        <v>128</v>
      </c>
      <c r="V221" s="37" t="s">
        <v>78</v>
      </c>
      <c r="W221" s="37" t="s">
        <v>122</v>
      </c>
      <c r="X221" s="37" t="s">
        <v>136</v>
      </c>
      <c r="Y221" s="37" t="s">
        <v>78</v>
      </c>
      <c r="Z221" s="37"/>
      <c r="AA221" s="37">
        <v>0.2</v>
      </c>
    </row>
    <row r="222" spans="1:27" x14ac:dyDescent="0.25">
      <c r="A222" s="37" t="s">
        <v>695</v>
      </c>
      <c r="B222" s="37" t="s">
        <v>183</v>
      </c>
      <c r="C222" s="37" t="s">
        <v>719</v>
      </c>
      <c r="D222" s="37" t="s">
        <v>185</v>
      </c>
      <c r="E222" s="37" t="s">
        <v>161</v>
      </c>
      <c r="F222" s="37"/>
      <c r="G222" s="37" t="s">
        <v>119</v>
      </c>
      <c r="H222" s="37" t="s">
        <v>161</v>
      </c>
      <c r="I222" s="37" t="s">
        <v>720</v>
      </c>
      <c r="J222" s="37" t="s">
        <v>135</v>
      </c>
      <c r="K222" s="37" t="s">
        <v>187</v>
      </c>
      <c r="L222" s="37" t="s">
        <v>122</v>
      </c>
      <c r="M222" s="37" t="s">
        <v>136</v>
      </c>
      <c r="N222" s="37" t="s">
        <v>187</v>
      </c>
      <c r="O222" s="37" t="s">
        <v>122</v>
      </c>
      <c r="P222" s="37"/>
      <c r="Q222" s="37"/>
      <c r="R222" s="37"/>
      <c r="S222" s="37"/>
      <c r="T222" s="37"/>
      <c r="U222" s="37" t="s">
        <v>128</v>
      </c>
      <c r="V222" s="37" t="s">
        <v>187</v>
      </c>
      <c r="W222" s="37" t="s">
        <v>122</v>
      </c>
      <c r="X222" s="37" t="s">
        <v>136</v>
      </c>
      <c r="Y222" s="37" t="s">
        <v>187</v>
      </c>
      <c r="Z222" s="37"/>
      <c r="AA222" s="37">
        <v>0.2</v>
      </c>
    </row>
    <row r="223" spans="1:27" x14ac:dyDescent="0.25">
      <c r="A223" s="37" t="s">
        <v>695</v>
      </c>
      <c r="B223" s="37" t="s">
        <v>380</v>
      </c>
      <c r="C223" s="37" t="s">
        <v>721</v>
      </c>
      <c r="D223" s="37" t="s">
        <v>435</v>
      </c>
      <c r="E223" s="37" t="s">
        <v>161</v>
      </c>
      <c r="F223" s="37"/>
      <c r="G223" s="37"/>
      <c r="H223" s="37"/>
      <c r="I223" s="37"/>
      <c r="J223" s="37" t="s">
        <v>135</v>
      </c>
      <c r="K223" s="37" t="s">
        <v>89</v>
      </c>
      <c r="L223" s="37" t="s">
        <v>122</v>
      </c>
      <c r="M223" s="37" t="s">
        <v>136</v>
      </c>
      <c r="N223" s="37" t="s">
        <v>89</v>
      </c>
      <c r="O223" s="37" t="s">
        <v>122</v>
      </c>
      <c r="P223" s="37"/>
      <c r="Q223" s="37"/>
      <c r="R223" s="37"/>
      <c r="S223" s="37"/>
      <c r="T223" s="37"/>
      <c r="U223" s="37" t="s">
        <v>128</v>
      </c>
      <c r="V223" s="37" t="s">
        <v>89</v>
      </c>
      <c r="W223" s="37" t="s">
        <v>122</v>
      </c>
      <c r="X223" s="37"/>
      <c r="Y223" s="37"/>
      <c r="Z223" s="37"/>
      <c r="AA223" s="37">
        <v>0.2</v>
      </c>
    </row>
    <row r="224" spans="1:27" x14ac:dyDescent="0.25">
      <c r="A224" s="37" t="s">
        <v>722</v>
      </c>
      <c r="B224" s="37" t="s">
        <v>115</v>
      </c>
      <c r="C224" s="37" t="s">
        <v>723</v>
      </c>
      <c r="D224" s="37" t="s">
        <v>121</v>
      </c>
      <c r="E224" s="37" t="s">
        <v>161</v>
      </c>
      <c r="F224" s="37"/>
      <c r="G224" s="37" t="s">
        <v>350</v>
      </c>
      <c r="H224" s="37" t="s">
        <v>73</v>
      </c>
      <c r="I224" s="37" t="s">
        <v>724</v>
      </c>
      <c r="J224" s="37" t="s">
        <v>149</v>
      </c>
      <c r="K224" s="37" t="s">
        <v>73</v>
      </c>
      <c r="L224" s="37" t="s">
        <v>122</v>
      </c>
      <c r="M224" s="37" t="s">
        <v>123</v>
      </c>
      <c r="N224" s="37" t="s">
        <v>78</v>
      </c>
      <c r="O224" s="37" t="s">
        <v>122</v>
      </c>
      <c r="P224" s="37" t="s">
        <v>547</v>
      </c>
      <c r="Q224" s="37" t="s">
        <v>353</v>
      </c>
      <c r="R224" s="37" t="s">
        <v>427</v>
      </c>
      <c r="S224" s="37" t="s">
        <v>127</v>
      </c>
      <c r="T224" s="37" t="s">
        <v>127</v>
      </c>
      <c r="U224" s="37" t="s">
        <v>128</v>
      </c>
      <c r="V224" s="37" t="s">
        <v>78</v>
      </c>
      <c r="W224" s="37" t="s">
        <v>122</v>
      </c>
      <c r="X224" s="37" t="s">
        <v>123</v>
      </c>
      <c r="Y224" s="37" t="s">
        <v>427</v>
      </c>
      <c r="Z224" s="37"/>
      <c r="AA224" s="37">
        <v>0.2</v>
      </c>
    </row>
    <row r="225" spans="1:27" x14ac:dyDescent="0.25">
      <c r="A225" s="37" t="s">
        <v>725</v>
      </c>
      <c r="B225" s="37" t="s">
        <v>115</v>
      </c>
      <c r="C225" s="37" t="s">
        <v>726</v>
      </c>
      <c r="D225" s="37" t="s">
        <v>121</v>
      </c>
      <c r="E225" s="37" t="s">
        <v>161</v>
      </c>
      <c r="F225" s="37"/>
      <c r="G225" s="37" t="s">
        <v>350</v>
      </c>
      <c r="H225" s="37" t="s">
        <v>73</v>
      </c>
      <c r="I225" s="37" t="s">
        <v>727</v>
      </c>
      <c r="J225" s="37" t="s">
        <v>149</v>
      </c>
      <c r="K225" s="37" t="s">
        <v>73</v>
      </c>
      <c r="L225" s="37" t="s">
        <v>122</v>
      </c>
      <c r="M225" s="37" t="s">
        <v>123</v>
      </c>
      <c r="N225" s="37" t="s">
        <v>78</v>
      </c>
      <c r="O225" s="37" t="s">
        <v>122</v>
      </c>
      <c r="P225" s="37" t="s">
        <v>547</v>
      </c>
      <c r="Q225" s="37" t="s">
        <v>353</v>
      </c>
      <c r="R225" s="37" t="s">
        <v>427</v>
      </c>
      <c r="S225" s="37" t="s">
        <v>127</v>
      </c>
      <c r="T225" s="37" t="s">
        <v>127</v>
      </c>
      <c r="U225" s="37" t="s">
        <v>128</v>
      </c>
      <c r="V225" s="37" t="s">
        <v>78</v>
      </c>
      <c r="W225" s="37" t="s">
        <v>122</v>
      </c>
      <c r="X225" s="37" t="s">
        <v>123</v>
      </c>
      <c r="Y225" s="37" t="s">
        <v>427</v>
      </c>
      <c r="Z225" s="37"/>
      <c r="AA225" s="37">
        <v>0.2</v>
      </c>
    </row>
    <row r="226" spans="1:27" x14ac:dyDescent="0.25">
      <c r="A226" s="37" t="s">
        <v>722</v>
      </c>
      <c r="B226" s="37" t="s">
        <v>130</v>
      </c>
      <c r="C226" s="37" t="s">
        <v>728</v>
      </c>
      <c r="D226" s="37" t="s">
        <v>132</v>
      </c>
      <c r="E226" s="37" t="s">
        <v>341</v>
      </c>
      <c r="F226" s="37"/>
      <c r="G226" s="37" t="s">
        <v>119</v>
      </c>
      <c r="H226" s="37" t="s">
        <v>318</v>
      </c>
      <c r="I226" s="37" t="s">
        <v>729</v>
      </c>
      <c r="J226" s="37" t="s">
        <v>121</v>
      </c>
      <c r="K226" s="37" t="s">
        <v>318</v>
      </c>
      <c r="L226" s="37" t="s">
        <v>122</v>
      </c>
      <c r="M226" s="37" t="s">
        <v>136</v>
      </c>
      <c r="N226" s="37" t="s">
        <v>78</v>
      </c>
      <c r="O226" s="37" t="s">
        <v>122</v>
      </c>
      <c r="P226" s="37"/>
      <c r="Q226" s="37"/>
      <c r="R226" s="37"/>
      <c r="S226" s="37"/>
      <c r="T226" s="37"/>
      <c r="U226" s="37" t="s">
        <v>128</v>
      </c>
      <c r="V226" s="37" t="s">
        <v>78</v>
      </c>
      <c r="W226" s="37" t="s">
        <v>122</v>
      </c>
      <c r="X226" s="37" t="s">
        <v>136</v>
      </c>
      <c r="Y226" s="37" t="s">
        <v>78</v>
      </c>
      <c r="Z226" s="37"/>
      <c r="AA226" s="37">
        <v>0.2</v>
      </c>
    </row>
    <row r="227" spans="1:27" x14ac:dyDescent="0.25">
      <c r="A227" s="37" t="s">
        <v>345</v>
      </c>
      <c r="B227" s="37" t="s">
        <v>130</v>
      </c>
      <c r="C227" s="37" t="s">
        <v>730</v>
      </c>
      <c r="D227" s="37" t="s">
        <v>292</v>
      </c>
      <c r="E227" s="37" t="s">
        <v>161</v>
      </c>
      <c r="F227" s="37"/>
      <c r="G227" s="37" t="s">
        <v>119</v>
      </c>
      <c r="H227" s="37" t="s">
        <v>161</v>
      </c>
      <c r="I227" s="37" t="s">
        <v>400</v>
      </c>
      <c r="J227" s="37" t="s">
        <v>121</v>
      </c>
      <c r="K227" s="37" t="s">
        <v>161</v>
      </c>
      <c r="L227" s="37" t="s">
        <v>122</v>
      </c>
      <c r="M227" s="37" t="s">
        <v>123</v>
      </c>
      <c r="N227" s="37" t="s">
        <v>341</v>
      </c>
      <c r="O227" s="37" t="s">
        <v>122</v>
      </c>
      <c r="P227" s="37"/>
      <c r="Q227" s="37"/>
      <c r="R227" s="37"/>
      <c r="S227" s="37"/>
      <c r="T227" s="37"/>
      <c r="U227" s="37" t="s">
        <v>128</v>
      </c>
      <c r="V227" s="37" t="s">
        <v>341</v>
      </c>
      <c r="W227" s="37" t="s">
        <v>122</v>
      </c>
      <c r="X227" s="37"/>
      <c r="Y227" s="37"/>
      <c r="Z227" s="37"/>
      <c r="AA227" s="37">
        <v>0.2</v>
      </c>
    </row>
    <row r="228" spans="1:27" x14ac:dyDescent="0.25">
      <c r="A228" s="37" t="s">
        <v>725</v>
      </c>
      <c r="B228" s="37" t="s">
        <v>130</v>
      </c>
      <c r="C228" s="37" t="s">
        <v>731</v>
      </c>
      <c r="D228" s="37" t="s">
        <v>146</v>
      </c>
      <c r="E228" s="37" t="s">
        <v>161</v>
      </c>
      <c r="F228" s="37" t="s">
        <v>732</v>
      </c>
      <c r="G228" s="37" t="s">
        <v>147</v>
      </c>
      <c r="H228" s="37" t="s">
        <v>219</v>
      </c>
      <c r="I228" s="37" t="s">
        <v>733</v>
      </c>
      <c r="J228" s="37" t="s">
        <v>149</v>
      </c>
      <c r="K228" s="37" t="s">
        <v>84</v>
      </c>
      <c r="L228" s="37" t="s">
        <v>122</v>
      </c>
      <c r="M228" s="37" t="s">
        <v>136</v>
      </c>
      <c r="N228" s="37" t="s">
        <v>89</v>
      </c>
      <c r="O228" s="37" t="s">
        <v>122</v>
      </c>
      <c r="P228" s="37"/>
      <c r="Q228" s="37"/>
      <c r="R228" s="37"/>
      <c r="S228" s="37"/>
      <c r="T228" s="37"/>
      <c r="U228" s="37" t="s">
        <v>128</v>
      </c>
      <c r="V228" s="37" t="s">
        <v>89</v>
      </c>
      <c r="W228" s="37" t="s">
        <v>122</v>
      </c>
      <c r="X228" s="37" t="s">
        <v>136</v>
      </c>
      <c r="Y228" s="37"/>
      <c r="Z228" s="37"/>
      <c r="AA228" s="37">
        <v>0.2</v>
      </c>
    </row>
    <row r="229" spans="1:27" x14ac:dyDescent="0.25">
      <c r="A229" s="37" t="s">
        <v>734</v>
      </c>
      <c r="B229" s="37" t="s">
        <v>362</v>
      </c>
      <c r="C229" s="37" t="s">
        <v>735</v>
      </c>
      <c r="D229" s="37" t="s">
        <v>503</v>
      </c>
      <c r="E229" s="37" t="s">
        <v>161</v>
      </c>
      <c r="F229" s="37"/>
      <c r="G229" s="37" t="s">
        <v>119</v>
      </c>
      <c r="H229" s="37" t="s">
        <v>161</v>
      </c>
      <c r="I229" s="37" t="s">
        <v>400</v>
      </c>
      <c r="J229" s="37" t="s">
        <v>149</v>
      </c>
      <c r="K229" s="37" t="s">
        <v>187</v>
      </c>
      <c r="L229" s="37" t="s">
        <v>122</v>
      </c>
      <c r="M229" s="37" t="s">
        <v>123</v>
      </c>
      <c r="N229" s="37" t="s">
        <v>187</v>
      </c>
      <c r="O229" s="37" t="s">
        <v>122</v>
      </c>
      <c r="P229" s="37" t="s">
        <v>504</v>
      </c>
      <c r="Q229" s="37" t="s">
        <v>440</v>
      </c>
      <c r="R229" s="37" t="s">
        <v>341</v>
      </c>
      <c r="S229" s="37" t="s">
        <v>127</v>
      </c>
      <c r="T229" s="37" t="s">
        <v>127</v>
      </c>
      <c r="U229" s="37" t="s">
        <v>128</v>
      </c>
      <c r="V229" s="37" t="s">
        <v>187</v>
      </c>
      <c r="W229" s="37" t="s">
        <v>122</v>
      </c>
      <c r="X229" s="37" t="s">
        <v>128</v>
      </c>
      <c r="Y229" s="37"/>
      <c r="Z229" s="37"/>
      <c r="AA229" s="37">
        <v>0.2</v>
      </c>
    </row>
    <row r="230" spans="1:27" x14ac:dyDescent="0.25">
      <c r="A230" s="37" t="s">
        <v>722</v>
      </c>
      <c r="B230" s="37" t="s">
        <v>242</v>
      </c>
      <c r="C230" s="37" t="s">
        <v>736</v>
      </c>
      <c r="D230" s="37" t="s">
        <v>457</v>
      </c>
      <c r="E230" s="37" t="s">
        <v>161</v>
      </c>
      <c r="F230" s="37" t="s">
        <v>737</v>
      </c>
      <c r="G230" s="37" t="s">
        <v>119</v>
      </c>
      <c r="H230" s="37" t="s">
        <v>219</v>
      </c>
      <c r="I230" s="37" t="s">
        <v>738</v>
      </c>
      <c r="J230" s="37" t="s">
        <v>135</v>
      </c>
      <c r="K230" s="37" t="s">
        <v>318</v>
      </c>
      <c r="L230" s="37" t="s">
        <v>122</v>
      </c>
      <c r="M230" s="37" t="s">
        <v>136</v>
      </c>
      <c r="N230" s="37" t="s">
        <v>78</v>
      </c>
      <c r="O230" s="37" t="s">
        <v>122</v>
      </c>
      <c r="P230" s="37"/>
      <c r="Q230" s="37"/>
      <c r="R230" s="37"/>
      <c r="S230" s="37"/>
      <c r="T230" s="37"/>
      <c r="U230" s="37" t="s">
        <v>128</v>
      </c>
      <c r="V230" s="37" t="s">
        <v>78</v>
      </c>
      <c r="W230" s="37" t="s">
        <v>122</v>
      </c>
      <c r="X230" s="37" t="s">
        <v>136</v>
      </c>
      <c r="Y230" s="37"/>
      <c r="Z230" s="37"/>
      <c r="AA230" s="37">
        <v>0.2</v>
      </c>
    </row>
    <row r="231" spans="1:27" x14ac:dyDescent="0.25">
      <c r="A231" s="37" t="s">
        <v>739</v>
      </c>
      <c r="B231" s="37" t="s">
        <v>115</v>
      </c>
      <c r="C231" s="37" t="s">
        <v>740</v>
      </c>
      <c r="D231" s="37" t="s">
        <v>466</v>
      </c>
      <c r="E231" s="37" t="s">
        <v>161</v>
      </c>
      <c r="F231" s="37" t="s">
        <v>741</v>
      </c>
      <c r="G231" s="37" t="s">
        <v>119</v>
      </c>
      <c r="H231" s="37" t="s">
        <v>187</v>
      </c>
      <c r="I231" s="37" t="s">
        <v>714</v>
      </c>
      <c r="J231" s="37" t="s">
        <v>135</v>
      </c>
      <c r="K231" s="37" t="s">
        <v>187</v>
      </c>
      <c r="L231" s="37" t="s">
        <v>122</v>
      </c>
      <c r="M231" s="37" t="s">
        <v>136</v>
      </c>
      <c r="N231" s="37" t="s">
        <v>341</v>
      </c>
      <c r="O231" s="37" t="s">
        <v>122</v>
      </c>
      <c r="P231" s="37" t="s">
        <v>469</v>
      </c>
      <c r="Q231" s="37" t="s">
        <v>125</v>
      </c>
      <c r="R231" s="37" t="s">
        <v>73</v>
      </c>
      <c r="S231" s="37" t="s">
        <v>127</v>
      </c>
      <c r="T231" s="37" t="s">
        <v>127</v>
      </c>
      <c r="U231" s="37" t="s">
        <v>128</v>
      </c>
      <c r="V231" s="37" t="s">
        <v>341</v>
      </c>
      <c r="W231" s="37" t="s">
        <v>122</v>
      </c>
      <c r="X231" s="37" t="s">
        <v>470</v>
      </c>
      <c r="Y231" s="37" t="s">
        <v>78</v>
      </c>
      <c r="Z231" s="37"/>
      <c r="AA231" s="37">
        <v>0.2</v>
      </c>
    </row>
    <row r="232" spans="1:27" x14ac:dyDescent="0.25">
      <c r="A232" s="37" t="s">
        <v>739</v>
      </c>
      <c r="B232" s="37" t="s">
        <v>130</v>
      </c>
      <c r="C232" s="37" t="s">
        <v>742</v>
      </c>
      <c r="D232" s="37" t="s">
        <v>132</v>
      </c>
      <c r="E232" s="37" t="s">
        <v>161</v>
      </c>
      <c r="F232" s="37"/>
      <c r="G232" s="37" t="s">
        <v>119</v>
      </c>
      <c r="H232" s="37" t="s">
        <v>318</v>
      </c>
      <c r="I232" s="37" t="s">
        <v>743</v>
      </c>
      <c r="J232" s="37" t="s">
        <v>121</v>
      </c>
      <c r="K232" s="37" t="s">
        <v>318</v>
      </c>
      <c r="L232" s="37" t="s">
        <v>122</v>
      </c>
      <c r="M232" s="37" t="s">
        <v>136</v>
      </c>
      <c r="N232" s="37" t="s">
        <v>78</v>
      </c>
      <c r="O232" s="37" t="s">
        <v>122</v>
      </c>
      <c r="P232" s="37"/>
      <c r="Q232" s="37"/>
      <c r="R232" s="37"/>
      <c r="S232" s="37"/>
      <c r="T232" s="37"/>
      <c r="U232" s="37" t="s">
        <v>128</v>
      </c>
      <c r="V232" s="37" t="s">
        <v>78</v>
      </c>
      <c r="W232" s="37" t="s">
        <v>122</v>
      </c>
      <c r="X232" s="37" t="s">
        <v>136</v>
      </c>
      <c r="Y232" s="37" t="s">
        <v>78</v>
      </c>
      <c r="Z232" s="37"/>
      <c r="AA232" s="37">
        <v>0.2</v>
      </c>
    </row>
    <row r="233" spans="1:27" x14ac:dyDescent="0.25">
      <c r="A233" s="37" t="s">
        <v>695</v>
      </c>
      <c r="B233" s="37" t="s">
        <v>167</v>
      </c>
      <c r="C233" s="37" t="s">
        <v>744</v>
      </c>
      <c r="D233" s="37" t="s">
        <v>169</v>
      </c>
      <c r="E233" s="37" t="s">
        <v>161</v>
      </c>
      <c r="F233" s="37" t="s">
        <v>745</v>
      </c>
      <c r="G233" s="37" t="s">
        <v>119</v>
      </c>
      <c r="H233" s="37" t="s">
        <v>187</v>
      </c>
      <c r="I233" s="37" t="s">
        <v>746</v>
      </c>
      <c r="J233" s="37" t="s">
        <v>121</v>
      </c>
      <c r="K233" s="37" t="s">
        <v>187</v>
      </c>
      <c r="L233" s="37" t="s">
        <v>122</v>
      </c>
      <c r="M233" s="37" t="s">
        <v>136</v>
      </c>
      <c r="N233" s="37" t="s">
        <v>187</v>
      </c>
      <c r="O233" s="37" t="s">
        <v>122</v>
      </c>
      <c r="P233" s="37" t="s">
        <v>747</v>
      </c>
      <c r="Q233" s="37" t="s">
        <v>174</v>
      </c>
      <c r="R233" s="37" t="s">
        <v>81</v>
      </c>
      <c r="S233" s="37" t="s">
        <v>127</v>
      </c>
      <c r="T233" s="37" t="s">
        <v>127</v>
      </c>
      <c r="U233" s="37" t="s">
        <v>128</v>
      </c>
      <c r="V233" s="37" t="s">
        <v>187</v>
      </c>
      <c r="W233" s="37" t="s">
        <v>122</v>
      </c>
      <c r="X233" s="37"/>
      <c r="Y233" s="37"/>
      <c r="Z233" s="37"/>
      <c r="AA233" s="37">
        <v>0.2</v>
      </c>
    </row>
    <row r="234" spans="1:27" x14ac:dyDescent="0.25">
      <c r="A234" s="37" t="s">
        <v>711</v>
      </c>
      <c r="B234" s="37" t="s">
        <v>167</v>
      </c>
      <c r="C234" s="37" t="s">
        <v>748</v>
      </c>
      <c r="D234" s="37" t="s">
        <v>169</v>
      </c>
      <c r="E234" s="37" t="s">
        <v>161</v>
      </c>
      <c r="F234" s="37" t="s">
        <v>749</v>
      </c>
      <c r="G234" s="37" t="s">
        <v>119</v>
      </c>
      <c r="H234" s="37" t="s">
        <v>187</v>
      </c>
      <c r="I234" s="37" t="s">
        <v>750</v>
      </c>
      <c r="J234" s="37" t="s">
        <v>121</v>
      </c>
      <c r="K234" s="37" t="s">
        <v>187</v>
      </c>
      <c r="L234" s="37" t="s">
        <v>122</v>
      </c>
      <c r="M234" s="37" t="s">
        <v>136</v>
      </c>
      <c r="N234" s="37" t="s">
        <v>187</v>
      </c>
      <c r="O234" s="37" t="s">
        <v>374</v>
      </c>
      <c r="P234" s="37" t="s">
        <v>747</v>
      </c>
      <c r="Q234" s="37" t="s">
        <v>174</v>
      </c>
      <c r="R234" s="37" t="s">
        <v>81</v>
      </c>
      <c r="S234" s="37" t="s">
        <v>127</v>
      </c>
      <c r="T234" s="37" t="s">
        <v>127</v>
      </c>
      <c r="U234" s="37" t="s">
        <v>128</v>
      </c>
      <c r="V234" s="37" t="s">
        <v>187</v>
      </c>
      <c r="W234" s="37" t="s">
        <v>122</v>
      </c>
      <c r="X234" s="37"/>
      <c r="Y234" s="37"/>
      <c r="Z234" s="37"/>
      <c r="AA234" s="37">
        <v>0.2</v>
      </c>
    </row>
    <row r="235" spans="1:27" x14ac:dyDescent="0.25">
      <c r="A235" s="37" t="s">
        <v>751</v>
      </c>
      <c r="B235" s="37" t="s">
        <v>251</v>
      </c>
      <c r="C235" s="37" t="s">
        <v>752</v>
      </c>
      <c r="D235" s="37" t="s">
        <v>117</v>
      </c>
      <c r="E235" s="37" t="s">
        <v>187</v>
      </c>
      <c r="F235" s="37"/>
      <c r="G235" s="37" t="s">
        <v>119</v>
      </c>
      <c r="H235" s="37" t="s">
        <v>427</v>
      </c>
      <c r="I235" s="37" t="s">
        <v>229</v>
      </c>
      <c r="J235" s="37" t="s">
        <v>121</v>
      </c>
      <c r="K235" s="37" t="s">
        <v>427</v>
      </c>
      <c r="L235" s="37" t="s">
        <v>122</v>
      </c>
      <c r="M235" s="37" t="s">
        <v>123</v>
      </c>
      <c r="N235" s="37" t="s">
        <v>698</v>
      </c>
      <c r="O235" s="37" t="s">
        <v>122</v>
      </c>
      <c r="P235" s="37"/>
      <c r="Q235" s="37"/>
      <c r="R235" s="37"/>
      <c r="S235" s="37"/>
      <c r="T235" s="37"/>
      <c r="U235" s="37" t="s">
        <v>128</v>
      </c>
      <c r="V235" s="37" t="s">
        <v>698</v>
      </c>
      <c r="W235" s="37" t="s">
        <v>122</v>
      </c>
      <c r="X235" s="37"/>
      <c r="Y235" s="37"/>
      <c r="Z235" s="37"/>
      <c r="AA235" s="37">
        <v>0.2</v>
      </c>
    </row>
    <row r="236" spans="1:27" x14ac:dyDescent="0.25">
      <c r="A236" s="37" t="s">
        <v>751</v>
      </c>
      <c r="B236" s="37" t="s">
        <v>162</v>
      </c>
      <c r="C236" s="37" t="s">
        <v>753</v>
      </c>
      <c r="D236" s="37" t="s">
        <v>117</v>
      </c>
      <c r="E236" s="37" t="s">
        <v>187</v>
      </c>
      <c r="F236" s="37"/>
      <c r="G236" s="37" t="s">
        <v>119</v>
      </c>
      <c r="H236" s="37" t="s">
        <v>427</v>
      </c>
      <c r="I236" s="37" t="s">
        <v>754</v>
      </c>
      <c r="J236" s="37" t="s">
        <v>121</v>
      </c>
      <c r="K236" s="37" t="s">
        <v>427</v>
      </c>
      <c r="L236" s="37" t="s">
        <v>122</v>
      </c>
      <c r="M236" s="37" t="s">
        <v>123</v>
      </c>
      <c r="N236" s="37" t="s">
        <v>698</v>
      </c>
      <c r="O236" s="37" t="s">
        <v>122</v>
      </c>
      <c r="P236" s="37"/>
      <c r="Q236" s="37"/>
      <c r="R236" s="37"/>
      <c r="S236" s="37"/>
      <c r="T236" s="37"/>
      <c r="U236" s="37" t="s">
        <v>128</v>
      </c>
      <c r="V236" s="37" t="s">
        <v>698</v>
      </c>
      <c r="W236" s="37" t="s">
        <v>122</v>
      </c>
      <c r="X236" s="37"/>
      <c r="Y236" s="37"/>
      <c r="Z236" s="37"/>
      <c r="AA236" s="37">
        <v>0.2</v>
      </c>
    </row>
    <row r="237" spans="1:27" x14ac:dyDescent="0.25">
      <c r="A237" s="37" t="s">
        <v>751</v>
      </c>
      <c r="B237" s="37" t="s">
        <v>130</v>
      </c>
      <c r="C237" s="37" t="s">
        <v>755</v>
      </c>
      <c r="D237" s="37" t="s">
        <v>132</v>
      </c>
      <c r="E237" s="37" t="s">
        <v>187</v>
      </c>
      <c r="F237" s="37"/>
      <c r="G237" s="37" t="s">
        <v>119</v>
      </c>
      <c r="H237" s="37" t="s">
        <v>318</v>
      </c>
      <c r="I237" s="37" t="s">
        <v>756</v>
      </c>
      <c r="J237" s="37" t="s">
        <v>121</v>
      </c>
      <c r="K237" s="37" t="s">
        <v>318</v>
      </c>
      <c r="L237" s="37" t="s">
        <v>122</v>
      </c>
      <c r="M237" s="37" t="s">
        <v>136</v>
      </c>
      <c r="N237" s="37" t="s">
        <v>78</v>
      </c>
      <c r="O237" s="37" t="s">
        <v>122</v>
      </c>
      <c r="P237" s="37"/>
      <c r="Q237" s="37"/>
      <c r="R237" s="37"/>
      <c r="S237" s="37"/>
      <c r="T237" s="37"/>
      <c r="U237" s="37" t="s">
        <v>128</v>
      </c>
      <c r="V237" s="37" t="s">
        <v>78</v>
      </c>
      <c r="W237" s="37" t="s">
        <v>122</v>
      </c>
      <c r="X237" s="37" t="s">
        <v>136</v>
      </c>
      <c r="Y237" s="37" t="s">
        <v>78</v>
      </c>
      <c r="Z237" s="37"/>
      <c r="AA237" s="37">
        <v>0.2</v>
      </c>
    </row>
    <row r="238" spans="1:27" x14ac:dyDescent="0.25">
      <c r="A238" s="37" t="s">
        <v>757</v>
      </c>
      <c r="B238" s="37" t="s">
        <v>115</v>
      </c>
      <c r="C238" s="37" t="s">
        <v>758</v>
      </c>
      <c r="D238" s="37" t="s">
        <v>466</v>
      </c>
      <c r="E238" s="37" t="s">
        <v>187</v>
      </c>
      <c r="F238" s="37"/>
      <c r="G238" s="37" t="s">
        <v>119</v>
      </c>
      <c r="H238" s="37" t="s">
        <v>187</v>
      </c>
      <c r="I238" s="37" t="s">
        <v>759</v>
      </c>
      <c r="J238" s="37" t="s">
        <v>135</v>
      </c>
      <c r="K238" s="37" t="s">
        <v>187</v>
      </c>
      <c r="L238" s="37" t="s">
        <v>122</v>
      </c>
      <c r="M238" s="37" t="s">
        <v>136</v>
      </c>
      <c r="N238" s="37" t="s">
        <v>341</v>
      </c>
      <c r="O238" s="37" t="s">
        <v>122</v>
      </c>
      <c r="P238" s="37" t="s">
        <v>469</v>
      </c>
      <c r="Q238" s="37" t="s">
        <v>125</v>
      </c>
      <c r="R238" s="37" t="s">
        <v>73</v>
      </c>
      <c r="S238" s="37" t="s">
        <v>127</v>
      </c>
      <c r="T238" s="37" t="s">
        <v>127</v>
      </c>
      <c r="U238" s="37" t="s">
        <v>128</v>
      </c>
      <c r="V238" s="37" t="s">
        <v>341</v>
      </c>
      <c r="W238" s="37" t="s">
        <v>122</v>
      </c>
      <c r="X238" s="37" t="s">
        <v>470</v>
      </c>
      <c r="Y238" s="37" t="s">
        <v>78</v>
      </c>
      <c r="Z238" s="37"/>
      <c r="AA238" s="37">
        <v>0.2</v>
      </c>
    </row>
    <row r="239" spans="1:27" x14ac:dyDescent="0.25">
      <c r="A239" s="37" t="s">
        <v>751</v>
      </c>
      <c r="B239" s="37" t="s">
        <v>167</v>
      </c>
      <c r="C239" s="37" t="s">
        <v>760</v>
      </c>
      <c r="D239" s="37" t="s">
        <v>214</v>
      </c>
      <c r="E239" s="37" t="s">
        <v>187</v>
      </c>
      <c r="F239" s="37" t="s">
        <v>761</v>
      </c>
      <c r="G239" s="37" t="s">
        <v>119</v>
      </c>
      <c r="H239" s="37" t="s">
        <v>187</v>
      </c>
      <c r="I239" s="37" t="s">
        <v>762</v>
      </c>
      <c r="J239" s="37" t="s">
        <v>135</v>
      </c>
      <c r="K239" s="37" t="s">
        <v>318</v>
      </c>
      <c r="L239" s="37" t="s">
        <v>122</v>
      </c>
      <c r="M239" s="37" t="s">
        <v>136</v>
      </c>
      <c r="N239" s="37" t="s">
        <v>73</v>
      </c>
      <c r="O239" s="37" t="s">
        <v>122</v>
      </c>
      <c r="P239" s="37" t="s">
        <v>630</v>
      </c>
      <c r="Q239" s="37" t="s">
        <v>174</v>
      </c>
      <c r="R239" s="37" t="s">
        <v>81</v>
      </c>
      <c r="S239" s="37" t="s">
        <v>127</v>
      </c>
      <c r="T239" s="37" t="s">
        <v>127</v>
      </c>
      <c r="U239" s="37" t="s">
        <v>128</v>
      </c>
      <c r="V239" s="37" t="s">
        <v>73</v>
      </c>
      <c r="W239" s="37" t="s">
        <v>122</v>
      </c>
      <c r="X239" s="37"/>
      <c r="Y239" s="37"/>
      <c r="Z239" s="37"/>
      <c r="AA239" s="37">
        <v>0.2</v>
      </c>
    </row>
    <row r="240" spans="1:27" x14ac:dyDescent="0.25">
      <c r="A240" s="37" t="s">
        <v>751</v>
      </c>
      <c r="B240" s="37" t="s">
        <v>362</v>
      </c>
      <c r="C240" s="37" t="s">
        <v>763</v>
      </c>
      <c r="D240" s="37" t="s">
        <v>123</v>
      </c>
      <c r="E240" s="37" t="s">
        <v>187</v>
      </c>
      <c r="F240" s="37"/>
      <c r="G240" s="37" t="s">
        <v>365</v>
      </c>
      <c r="H240" s="37" t="s">
        <v>187</v>
      </c>
      <c r="I240" s="37" t="s">
        <v>148</v>
      </c>
      <c r="J240" s="37" t="s">
        <v>149</v>
      </c>
      <c r="K240" s="37" t="s">
        <v>187</v>
      </c>
      <c r="L240" s="37" t="s">
        <v>122</v>
      </c>
      <c r="M240" s="37" t="s">
        <v>123</v>
      </c>
      <c r="N240" s="37" t="s">
        <v>187</v>
      </c>
      <c r="O240" s="37" t="s">
        <v>122</v>
      </c>
      <c r="P240" s="37"/>
      <c r="Q240" s="37"/>
      <c r="R240" s="37"/>
      <c r="S240" s="37"/>
      <c r="T240" s="37"/>
      <c r="U240" s="37" t="s">
        <v>128</v>
      </c>
      <c r="V240" s="37" t="s">
        <v>187</v>
      </c>
      <c r="W240" s="37" t="s">
        <v>122</v>
      </c>
      <c r="X240" s="37"/>
      <c r="Y240" s="37"/>
      <c r="Z240" s="37" t="s">
        <v>608</v>
      </c>
      <c r="AA240" s="37">
        <v>0.2</v>
      </c>
    </row>
    <row r="241" spans="1:27" x14ac:dyDescent="0.25">
      <c r="A241" s="37" t="s">
        <v>757</v>
      </c>
      <c r="B241" s="37" t="s">
        <v>362</v>
      </c>
      <c r="C241" s="37" t="s">
        <v>764</v>
      </c>
      <c r="D241" s="37" t="s">
        <v>123</v>
      </c>
      <c r="E241" s="37" t="s">
        <v>187</v>
      </c>
      <c r="F241" s="37" t="s">
        <v>765</v>
      </c>
      <c r="G241" s="37" t="s">
        <v>365</v>
      </c>
      <c r="H241" s="37" t="s">
        <v>341</v>
      </c>
      <c r="I241" s="37" t="s">
        <v>766</v>
      </c>
      <c r="J241" s="37" t="s">
        <v>121</v>
      </c>
      <c r="K241" s="37" t="s">
        <v>318</v>
      </c>
      <c r="L241" s="37" t="s">
        <v>122</v>
      </c>
      <c r="M241" s="37" t="s">
        <v>123</v>
      </c>
      <c r="N241" s="37" t="s">
        <v>318</v>
      </c>
      <c r="O241" s="37" t="s">
        <v>122</v>
      </c>
      <c r="P241" s="37" t="s">
        <v>439</v>
      </c>
      <c r="Q241" s="37" t="s">
        <v>440</v>
      </c>
      <c r="R241" s="37" t="s">
        <v>441</v>
      </c>
      <c r="S241" s="37" t="s">
        <v>127</v>
      </c>
      <c r="T241" s="37" t="s">
        <v>175</v>
      </c>
      <c r="U241" s="37" t="s">
        <v>128</v>
      </c>
      <c r="V241" s="37" t="s">
        <v>318</v>
      </c>
      <c r="W241" s="37" t="s">
        <v>122</v>
      </c>
      <c r="X241" s="37" t="s">
        <v>123</v>
      </c>
      <c r="Y241" s="37" t="s">
        <v>767</v>
      </c>
      <c r="Z241" s="37"/>
      <c r="AA241" s="37">
        <v>0.2</v>
      </c>
    </row>
    <row r="242" spans="1:27" x14ac:dyDescent="0.25">
      <c r="A242" s="37" t="s">
        <v>751</v>
      </c>
      <c r="B242" s="37" t="s">
        <v>209</v>
      </c>
      <c r="C242" s="37" t="s">
        <v>768</v>
      </c>
      <c r="D242" s="37" t="s">
        <v>149</v>
      </c>
      <c r="E242" s="37" t="s">
        <v>187</v>
      </c>
      <c r="F242" s="37"/>
      <c r="G242" s="37" t="s">
        <v>119</v>
      </c>
      <c r="H242" s="37" t="s">
        <v>187</v>
      </c>
      <c r="I242" s="37" t="s">
        <v>769</v>
      </c>
      <c r="J242" s="37" t="s">
        <v>121</v>
      </c>
      <c r="K242" s="37" t="s">
        <v>187</v>
      </c>
      <c r="L242" s="37" t="s">
        <v>122</v>
      </c>
      <c r="M242" s="37" t="s">
        <v>123</v>
      </c>
      <c r="N242" s="37" t="s">
        <v>187</v>
      </c>
      <c r="O242" s="37" t="s">
        <v>122</v>
      </c>
      <c r="P242" s="37"/>
      <c r="Q242" s="37"/>
      <c r="R242" s="37"/>
      <c r="S242" s="37"/>
      <c r="T242" s="37"/>
      <c r="U242" s="37" t="s">
        <v>128</v>
      </c>
      <c r="V242" s="37" t="s">
        <v>187</v>
      </c>
      <c r="W242" s="37" t="s">
        <v>122</v>
      </c>
      <c r="X242" s="37"/>
      <c r="Y242" s="37"/>
      <c r="Z242" s="37"/>
      <c r="AA242" s="37">
        <v>0.2</v>
      </c>
    </row>
    <row r="243" spans="1:27" x14ac:dyDescent="0.25">
      <c r="A243" s="37" t="s">
        <v>757</v>
      </c>
      <c r="B243" s="37" t="s">
        <v>167</v>
      </c>
      <c r="C243" s="37" t="s">
        <v>770</v>
      </c>
      <c r="D243" s="37" t="s">
        <v>169</v>
      </c>
      <c r="E243" s="37" t="s">
        <v>187</v>
      </c>
      <c r="F243" s="37" t="s">
        <v>771</v>
      </c>
      <c r="G243" s="37" t="s">
        <v>119</v>
      </c>
      <c r="H243" s="37" t="s">
        <v>187</v>
      </c>
      <c r="I243" s="37" t="s">
        <v>772</v>
      </c>
      <c r="J243" s="37" t="s">
        <v>121</v>
      </c>
      <c r="K243" s="37" t="s">
        <v>187</v>
      </c>
      <c r="L243" s="37" t="s">
        <v>122</v>
      </c>
      <c r="M243" s="37" t="s">
        <v>136</v>
      </c>
      <c r="N243" s="37" t="s">
        <v>187</v>
      </c>
      <c r="O243" s="37" t="s">
        <v>374</v>
      </c>
      <c r="P243" s="37" t="s">
        <v>747</v>
      </c>
      <c r="Q243" s="37" t="s">
        <v>174</v>
      </c>
      <c r="R243" s="37" t="s">
        <v>81</v>
      </c>
      <c r="S243" s="37" t="s">
        <v>127</v>
      </c>
      <c r="T243" s="37" t="s">
        <v>127</v>
      </c>
      <c r="U243" s="37" t="s">
        <v>128</v>
      </c>
      <c r="V243" s="37" t="s">
        <v>187</v>
      </c>
      <c r="W243" s="37" t="s">
        <v>122</v>
      </c>
      <c r="X243" s="37"/>
      <c r="Y243" s="37"/>
      <c r="Z243" s="37"/>
      <c r="AA243" s="37">
        <v>0.2</v>
      </c>
    </row>
    <row r="244" spans="1:27" x14ac:dyDescent="0.25">
      <c r="A244" s="37" t="s">
        <v>773</v>
      </c>
      <c r="B244" s="37" t="s">
        <v>115</v>
      </c>
      <c r="C244" s="37" t="s">
        <v>774</v>
      </c>
      <c r="D244" s="37" t="s">
        <v>121</v>
      </c>
      <c r="E244" s="37" t="s">
        <v>187</v>
      </c>
      <c r="F244" s="37"/>
      <c r="G244" s="37" t="s">
        <v>350</v>
      </c>
      <c r="H244" s="37" t="s">
        <v>73</v>
      </c>
      <c r="I244" s="37" t="s">
        <v>775</v>
      </c>
      <c r="J244" s="37" t="s">
        <v>149</v>
      </c>
      <c r="K244" s="37" t="s">
        <v>73</v>
      </c>
      <c r="L244" s="37" t="s">
        <v>122</v>
      </c>
      <c r="M244" s="37" t="s">
        <v>123</v>
      </c>
      <c r="N244" s="37" t="s">
        <v>78</v>
      </c>
      <c r="O244" s="37" t="s">
        <v>122</v>
      </c>
      <c r="P244" s="37" t="s">
        <v>547</v>
      </c>
      <c r="Q244" s="37" t="s">
        <v>353</v>
      </c>
      <c r="R244" s="37" t="s">
        <v>427</v>
      </c>
      <c r="S244" s="37" t="s">
        <v>127</v>
      </c>
      <c r="T244" s="37" t="s">
        <v>127</v>
      </c>
      <c r="U244" s="37" t="s">
        <v>128</v>
      </c>
      <c r="V244" s="37" t="s">
        <v>78</v>
      </c>
      <c r="W244" s="37" t="s">
        <v>122</v>
      </c>
      <c r="X244" s="37" t="s">
        <v>123</v>
      </c>
      <c r="Y244" s="37" t="s">
        <v>427</v>
      </c>
      <c r="Z244" s="37"/>
      <c r="AA244" s="37">
        <v>0.2</v>
      </c>
    </row>
    <row r="245" spans="1:27" x14ac:dyDescent="0.25">
      <c r="A245" s="37" t="s">
        <v>776</v>
      </c>
      <c r="B245" s="37" t="s">
        <v>162</v>
      </c>
      <c r="C245" s="37" t="s">
        <v>777</v>
      </c>
      <c r="D245" s="37" t="s">
        <v>117</v>
      </c>
      <c r="E245" s="37" t="s">
        <v>341</v>
      </c>
      <c r="F245" s="37"/>
      <c r="G245" s="37" t="s">
        <v>119</v>
      </c>
      <c r="H245" s="37" t="s">
        <v>427</v>
      </c>
      <c r="I245" s="37" t="s">
        <v>778</v>
      </c>
      <c r="J245" s="37" t="s">
        <v>121</v>
      </c>
      <c r="K245" s="37" t="s">
        <v>427</v>
      </c>
      <c r="L245" s="37" t="s">
        <v>122</v>
      </c>
      <c r="M245" s="37" t="s">
        <v>123</v>
      </c>
      <c r="N245" s="37" t="s">
        <v>698</v>
      </c>
      <c r="O245" s="37" t="s">
        <v>122</v>
      </c>
      <c r="P245" s="37"/>
      <c r="Q245" s="37"/>
      <c r="R245" s="37"/>
      <c r="S245" s="37"/>
      <c r="T245" s="37"/>
      <c r="U245" s="37" t="s">
        <v>128</v>
      </c>
      <c r="V245" s="37" t="s">
        <v>698</v>
      </c>
      <c r="W245" s="37" t="s">
        <v>122</v>
      </c>
      <c r="X245" s="37"/>
      <c r="Y245" s="37"/>
      <c r="Z245" s="37"/>
      <c r="AA245" s="37">
        <v>0.2</v>
      </c>
    </row>
    <row r="246" spans="1:27" x14ac:dyDescent="0.25">
      <c r="A246" s="37" t="s">
        <v>776</v>
      </c>
      <c r="B246" s="37" t="s">
        <v>251</v>
      </c>
      <c r="C246" s="37" t="s">
        <v>779</v>
      </c>
      <c r="D246" s="37" t="s">
        <v>117</v>
      </c>
      <c r="E246" s="37" t="s">
        <v>341</v>
      </c>
      <c r="F246" s="37"/>
      <c r="G246" s="37" t="s">
        <v>119</v>
      </c>
      <c r="H246" s="37" t="s">
        <v>78</v>
      </c>
      <c r="I246" s="37" t="s">
        <v>780</v>
      </c>
      <c r="J246" s="37" t="s">
        <v>121</v>
      </c>
      <c r="K246" s="37" t="s">
        <v>78</v>
      </c>
      <c r="L246" s="37" t="s">
        <v>122</v>
      </c>
      <c r="M246" s="37" t="s">
        <v>123</v>
      </c>
      <c r="N246" s="37" t="s">
        <v>78</v>
      </c>
      <c r="O246" s="37" t="s">
        <v>122</v>
      </c>
      <c r="P246" s="37"/>
      <c r="Q246" s="37"/>
      <c r="R246" s="37"/>
      <c r="S246" s="37"/>
      <c r="T246" s="37"/>
      <c r="U246" s="37" t="s">
        <v>128</v>
      </c>
      <c r="V246" s="37" t="s">
        <v>78</v>
      </c>
      <c r="W246" s="37" t="s">
        <v>122</v>
      </c>
      <c r="X246" s="37"/>
      <c r="Y246" s="37"/>
      <c r="Z246" s="37"/>
      <c r="AA246" s="37">
        <v>0.2</v>
      </c>
    </row>
    <row r="247" spans="1:27" x14ac:dyDescent="0.25">
      <c r="A247" s="37" t="s">
        <v>776</v>
      </c>
      <c r="B247" s="37" t="s">
        <v>248</v>
      </c>
      <c r="C247" s="37" t="s">
        <v>779</v>
      </c>
      <c r="D247" s="37" t="s">
        <v>117</v>
      </c>
      <c r="E247" s="37" t="s">
        <v>341</v>
      </c>
      <c r="F247" s="37"/>
      <c r="G247" s="37" t="s">
        <v>119</v>
      </c>
      <c r="H247" s="37" t="s">
        <v>78</v>
      </c>
      <c r="I247" s="37" t="s">
        <v>780</v>
      </c>
      <c r="J247" s="37" t="s">
        <v>121</v>
      </c>
      <c r="K247" s="37" t="s">
        <v>78</v>
      </c>
      <c r="L247" s="37" t="s">
        <v>122</v>
      </c>
      <c r="M247" s="37" t="s">
        <v>123</v>
      </c>
      <c r="N247" s="37" t="s">
        <v>78</v>
      </c>
      <c r="O247" s="37" t="s">
        <v>122</v>
      </c>
      <c r="P247" s="37" t="s">
        <v>675</v>
      </c>
      <c r="Q247" s="37" t="s">
        <v>165</v>
      </c>
      <c r="R247" s="37" t="s">
        <v>427</v>
      </c>
      <c r="S247" s="37" t="s">
        <v>127</v>
      </c>
      <c r="T247" s="37" t="s">
        <v>175</v>
      </c>
      <c r="U247" s="37" t="s">
        <v>128</v>
      </c>
      <c r="V247" s="37" t="s">
        <v>78</v>
      </c>
      <c r="W247" s="37" t="s">
        <v>122</v>
      </c>
      <c r="X247" s="37"/>
      <c r="Y247" s="37"/>
      <c r="Z247" s="37"/>
      <c r="AA247" s="37">
        <v>0.2</v>
      </c>
    </row>
    <row r="248" spans="1:27" x14ac:dyDescent="0.25">
      <c r="A248" s="37" t="s">
        <v>776</v>
      </c>
      <c r="B248" s="37" t="s">
        <v>176</v>
      </c>
      <c r="C248" s="37" t="s">
        <v>781</v>
      </c>
      <c r="D248" s="37" t="s">
        <v>178</v>
      </c>
      <c r="E248" s="37" t="s">
        <v>341</v>
      </c>
      <c r="F248" s="37"/>
      <c r="G248" s="37" t="s">
        <v>119</v>
      </c>
      <c r="H248" s="37" t="s">
        <v>427</v>
      </c>
      <c r="I248" s="37" t="s">
        <v>340</v>
      </c>
      <c r="J248" s="37" t="s">
        <v>121</v>
      </c>
      <c r="K248" s="37" t="s">
        <v>427</v>
      </c>
      <c r="L248" s="37" t="s">
        <v>122</v>
      </c>
      <c r="M248" s="37" t="s">
        <v>123</v>
      </c>
      <c r="N248" s="37" t="s">
        <v>427</v>
      </c>
      <c r="O248" s="37" t="s">
        <v>122</v>
      </c>
      <c r="P248" s="37" t="s">
        <v>181</v>
      </c>
      <c r="Q248" s="37"/>
      <c r="R248" s="37"/>
      <c r="S248" s="37"/>
      <c r="T248" s="37"/>
      <c r="U248" s="37" t="s">
        <v>128</v>
      </c>
      <c r="V248" s="37" t="s">
        <v>427</v>
      </c>
      <c r="W248" s="37" t="s">
        <v>122</v>
      </c>
      <c r="X248" s="37"/>
      <c r="Y248" s="37"/>
      <c r="Z248" s="37"/>
      <c r="AA248" s="37">
        <v>0.2</v>
      </c>
    </row>
    <row r="249" spans="1:27" x14ac:dyDescent="0.25">
      <c r="A249" s="37" t="s">
        <v>782</v>
      </c>
      <c r="B249" s="37" t="s">
        <v>162</v>
      </c>
      <c r="C249" s="37" t="s">
        <v>783</v>
      </c>
      <c r="D249" s="37" t="s">
        <v>117</v>
      </c>
      <c r="E249" s="37" t="s">
        <v>341</v>
      </c>
      <c r="F249" s="37"/>
      <c r="G249" s="37" t="s">
        <v>119</v>
      </c>
      <c r="H249" s="37" t="s">
        <v>427</v>
      </c>
      <c r="I249" s="37" t="s">
        <v>784</v>
      </c>
      <c r="J249" s="37" t="s">
        <v>121</v>
      </c>
      <c r="K249" s="37" t="s">
        <v>427</v>
      </c>
      <c r="L249" s="37" t="s">
        <v>122</v>
      </c>
      <c r="M249" s="37" t="s">
        <v>123</v>
      </c>
      <c r="N249" s="37" t="s">
        <v>698</v>
      </c>
      <c r="O249" s="37" t="s">
        <v>122</v>
      </c>
      <c r="P249" s="37"/>
      <c r="Q249" s="37"/>
      <c r="R249" s="37"/>
      <c r="S249" s="37"/>
      <c r="T249" s="37"/>
      <c r="U249" s="37" t="s">
        <v>128</v>
      </c>
      <c r="V249" s="37" t="s">
        <v>698</v>
      </c>
      <c r="W249" s="37" t="s">
        <v>122</v>
      </c>
      <c r="X249" s="37"/>
      <c r="Y249" s="37"/>
      <c r="Z249" s="37"/>
      <c r="AA249" s="37">
        <v>0.2</v>
      </c>
    </row>
    <row r="250" spans="1:27" x14ac:dyDescent="0.25">
      <c r="A250" s="37" t="s">
        <v>782</v>
      </c>
      <c r="B250" s="37" t="s">
        <v>176</v>
      </c>
      <c r="C250" s="37" t="s">
        <v>785</v>
      </c>
      <c r="D250" s="37" t="s">
        <v>169</v>
      </c>
      <c r="E250" s="37" t="s">
        <v>341</v>
      </c>
      <c r="F250" s="37"/>
      <c r="G250" s="37" t="s">
        <v>119</v>
      </c>
      <c r="H250" s="37" t="s">
        <v>219</v>
      </c>
      <c r="I250" s="37" t="s">
        <v>786</v>
      </c>
      <c r="J250" s="37" t="s">
        <v>121</v>
      </c>
      <c r="K250" s="37" t="s">
        <v>318</v>
      </c>
      <c r="L250" s="37" t="s">
        <v>122</v>
      </c>
      <c r="M250" s="37" t="s">
        <v>123</v>
      </c>
      <c r="N250" s="37" t="s">
        <v>73</v>
      </c>
      <c r="O250" s="37" t="s">
        <v>122</v>
      </c>
      <c r="P250" s="37"/>
      <c r="Q250" s="37"/>
      <c r="R250" s="37"/>
      <c r="S250" s="37"/>
      <c r="T250" s="37"/>
      <c r="U250" s="37" t="s">
        <v>128</v>
      </c>
      <c r="V250" s="37" t="s">
        <v>73</v>
      </c>
      <c r="W250" s="37" t="s">
        <v>122</v>
      </c>
      <c r="X250" s="37"/>
      <c r="Y250" s="37"/>
      <c r="Z250" s="37"/>
      <c r="AA250" s="37">
        <v>0.2</v>
      </c>
    </row>
    <row r="251" spans="1:27" x14ac:dyDescent="0.25">
      <c r="A251" s="37" t="s">
        <v>776</v>
      </c>
      <c r="B251" s="37" t="s">
        <v>115</v>
      </c>
      <c r="C251" s="37" t="s">
        <v>787</v>
      </c>
      <c r="D251" s="37" t="s">
        <v>466</v>
      </c>
      <c r="E251" s="37" t="s">
        <v>341</v>
      </c>
      <c r="F251" s="37"/>
      <c r="G251" s="37" t="s">
        <v>119</v>
      </c>
      <c r="H251" s="37" t="s">
        <v>341</v>
      </c>
      <c r="I251" s="37" t="s">
        <v>788</v>
      </c>
      <c r="J251" s="37" t="s">
        <v>135</v>
      </c>
      <c r="K251" s="37" t="s">
        <v>341</v>
      </c>
      <c r="L251" s="37" t="s">
        <v>122</v>
      </c>
      <c r="M251" s="37" t="s">
        <v>136</v>
      </c>
      <c r="N251" s="37" t="s">
        <v>341</v>
      </c>
      <c r="O251" s="37" t="s">
        <v>122</v>
      </c>
      <c r="P251" s="37" t="s">
        <v>469</v>
      </c>
      <c r="Q251" s="37" t="s">
        <v>125</v>
      </c>
      <c r="R251" s="37" t="s">
        <v>73</v>
      </c>
      <c r="S251" s="37" t="s">
        <v>127</v>
      </c>
      <c r="T251" s="37" t="s">
        <v>127</v>
      </c>
      <c r="U251" s="37" t="s">
        <v>128</v>
      </c>
      <c r="V251" s="37" t="s">
        <v>341</v>
      </c>
      <c r="W251" s="37" t="s">
        <v>122</v>
      </c>
      <c r="X251" s="37" t="s">
        <v>470</v>
      </c>
      <c r="Y251" s="37" t="s">
        <v>78</v>
      </c>
      <c r="Z251" s="37" t="s">
        <v>471</v>
      </c>
      <c r="AA251" s="37">
        <v>0.2</v>
      </c>
    </row>
    <row r="252" spans="1:27" x14ac:dyDescent="0.25">
      <c r="A252" s="37" t="s">
        <v>776</v>
      </c>
      <c r="B252" s="37" t="s">
        <v>362</v>
      </c>
      <c r="C252" s="37" t="s">
        <v>789</v>
      </c>
      <c r="D252" s="37" t="s">
        <v>503</v>
      </c>
      <c r="E252" s="37" t="s">
        <v>341</v>
      </c>
      <c r="F252" s="37" t="s">
        <v>790</v>
      </c>
      <c r="G252" s="37" t="s">
        <v>365</v>
      </c>
      <c r="H252" s="37" t="s">
        <v>78</v>
      </c>
      <c r="I252" s="37" t="s">
        <v>791</v>
      </c>
      <c r="J252" s="37" t="s">
        <v>149</v>
      </c>
      <c r="K252" s="37" t="s">
        <v>78</v>
      </c>
      <c r="L252" s="37" t="s">
        <v>122</v>
      </c>
      <c r="M252" s="37" t="s">
        <v>470</v>
      </c>
      <c r="N252" s="37" t="s">
        <v>698</v>
      </c>
      <c r="O252" s="37" t="s">
        <v>122</v>
      </c>
      <c r="P252" s="37"/>
      <c r="Q252" s="37"/>
      <c r="R252" s="37"/>
      <c r="S252" s="37"/>
      <c r="T252" s="37"/>
      <c r="U252" s="37" t="s">
        <v>128</v>
      </c>
      <c r="V252" s="37" t="s">
        <v>698</v>
      </c>
      <c r="W252" s="37" t="s">
        <v>122</v>
      </c>
      <c r="X252" s="37"/>
      <c r="Y252" s="37"/>
      <c r="Z252" s="37"/>
      <c r="AA252" s="37">
        <v>0.2</v>
      </c>
    </row>
    <row r="253" spans="1:27" x14ac:dyDescent="0.25">
      <c r="A253" s="37" t="s">
        <v>776</v>
      </c>
      <c r="B253" s="37" t="s">
        <v>130</v>
      </c>
      <c r="C253" s="37" t="s">
        <v>792</v>
      </c>
      <c r="D253" s="37" t="s">
        <v>132</v>
      </c>
      <c r="E253" s="37" t="s">
        <v>341</v>
      </c>
      <c r="F253" s="37"/>
      <c r="G253" s="37" t="s">
        <v>119</v>
      </c>
      <c r="H253" s="37" t="s">
        <v>318</v>
      </c>
      <c r="I253" s="37" t="s">
        <v>793</v>
      </c>
      <c r="J253" s="37" t="s">
        <v>121</v>
      </c>
      <c r="K253" s="37" t="s">
        <v>318</v>
      </c>
      <c r="L253" s="37" t="s">
        <v>122</v>
      </c>
      <c r="M253" s="37" t="s">
        <v>136</v>
      </c>
      <c r="N253" s="37" t="s">
        <v>78</v>
      </c>
      <c r="O253" s="37" t="s">
        <v>122</v>
      </c>
      <c r="P253" s="37"/>
      <c r="Q253" s="37"/>
      <c r="R253" s="37"/>
      <c r="S253" s="37"/>
      <c r="T253" s="37"/>
      <c r="U253" s="37" t="s">
        <v>128</v>
      </c>
      <c r="V253" s="37" t="s">
        <v>78</v>
      </c>
      <c r="W253" s="37" t="s">
        <v>122</v>
      </c>
      <c r="X253" s="37" t="s">
        <v>136</v>
      </c>
      <c r="Y253" s="37" t="s">
        <v>78</v>
      </c>
      <c r="Z253" s="37"/>
      <c r="AA253" s="37">
        <v>0.2</v>
      </c>
    </row>
    <row r="254" spans="1:27" x14ac:dyDescent="0.25">
      <c r="A254" s="37" t="s">
        <v>782</v>
      </c>
      <c r="B254" s="37" t="s">
        <v>362</v>
      </c>
      <c r="C254" s="37" t="s">
        <v>794</v>
      </c>
      <c r="D254" s="37" t="s">
        <v>123</v>
      </c>
      <c r="E254" s="37" t="s">
        <v>341</v>
      </c>
      <c r="F254" s="37" t="s">
        <v>795</v>
      </c>
      <c r="G254" s="37" t="s">
        <v>365</v>
      </c>
      <c r="H254" s="37" t="s">
        <v>341</v>
      </c>
      <c r="I254" s="37" t="s">
        <v>796</v>
      </c>
      <c r="J254" s="37" t="s">
        <v>121</v>
      </c>
      <c r="K254" s="37" t="s">
        <v>318</v>
      </c>
      <c r="L254" s="37" t="s">
        <v>122</v>
      </c>
      <c r="M254" s="37" t="s">
        <v>123</v>
      </c>
      <c r="N254" s="37" t="s">
        <v>318</v>
      </c>
      <c r="O254" s="37" t="s">
        <v>122</v>
      </c>
      <c r="P254" s="37" t="s">
        <v>439</v>
      </c>
      <c r="Q254" s="37" t="s">
        <v>440</v>
      </c>
      <c r="R254" s="37" t="s">
        <v>441</v>
      </c>
      <c r="S254" s="37" t="s">
        <v>127</v>
      </c>
      <c r="T254" s="37" t="s">
        <v>127</v>
      </c>
      <c r="U254" s="37" t="s">
        <v>128</v>
      </c>
      <c r="V254" s="37" t="s">
        <v>318</v>
      </c>
      <c r="W254" s="37" t="s">
        <v>122</v>
      </c>
      <c r="X254" s="37" t="s">
        <v>123</v>
      </c>
      <c r="Y254" s="37" t="s">
        <v>441</v>
      </c>
      <c r="Z254" s="37"/>
      <c r="AA254" s="37">
        <v>0.2</v>
      </c>
    </row>
    <row r="255" spans="1:27" x14ac:dyDescent="0.25">
      <c r="A255" s="37" t="s">
        <v>782</v>
      </c>
      <c r="B255" s="37" t="s">
        <v>130</v>
      </c>
      <c r="C255" s="37" t="s">
        <v>797</v>
      </c>
      <c r="D255" s="37" t="s">
        <v>132</v>
      </c>
      <c r="E255" s="37" t="s">
        <v>341</v>
      </c>
      <c r="F255" s="37"/>
      <c r="G255" s="37" t="s">
        <v>119</v>
      </c>
      <c r="H255" s="37" t="s">
        <v>219</v>
      </c>
      <c r="I255" s="37" t="s">
        <v>798</v>
      </c>
      <c r="J255" s="37" t="s">
        <v>121</v>
      </c>
      <c r="K255" s="37" t="s">
        <v>318</v>
      </c>
      <c r="L255" s="37" t="s">
        <v>122</v>
      </c>
      <c r="M255" s="37" t="s">
        <v>136</v>
      </c>
      <c r="N255" s="37" t="s">
        <v>78</v>
      </c>
      <c r="O255" s="37" t="s">
        <v>122</v>
      </c>
      <c r="P255" s="37"/>
      <c r="Q255" s="37"/>
      <c r="R255" s="37"/>
      <c r="S255" s="37"/>
      <c r="T255" s="37"/>
      <c r="U255" s="37" t="s">
        <v>128</v>
      </c>
      <c r="V255" s="37" t="s">
        <v>78</v>
      </c>
      <c r="W255" s="37" t="s">
        <v>122</v>
      </c>
      <c r="X255" s="37"/>
      <c r="Y255" s="37"/>
      <c r="Z255" s="37"/>
      <c r="AA255" s="37">
        <v>0.2</v>
      </c>
    </row>
    <row r="256" spans="1:27" x14ac:dyDescent="0.25">
      <c r="A256" s="37" t="s">
        <v>799</v>
      </c>
      <c r="B256" s="37" t="s">
        <v>362</v>
      </c>
      <c r="C256" s="37" t="s">
        <v>800</v>
      </c>
      <c r="D256" s="37" t="s">
        <v>123</v>
      </c>
      <c r="E256" s="37" t="s">
        <v>341</v>
      </c>
      <c r="F256" s="37"/>
      <c r="G256" s="37" t="s">
        <v>365</v>
      </c>
      <c r="H256" s="37" t="s">
        <v>341</v>
      </c>
      <c r="I256" s="37" t="s">
        <v>801</v>
      </c>
      <c r="J256" s="37" t="s">
        <v>121</v>
      </c>
      <c r="K256" s="37" t="s">
        <v>318</v>
      </c>
      <c r="L256" s="37" t="s">
        <v>122</v>
      </c>
      <c r="M256" s="37" t="s">
        <v>123</v>
      </c>
      <c r="N256" s="37" t="s">
        <v>318</v>
      </c>
      <c r="O256" s="37" t="s">
        <v>122</v>
      </c>
      <c r="P256" s="37"/>
      <c r="Q256" s="37"/>
      <c r="R256" s="37"/>
      <c r="S256" s="37"/>
      <c r="T256" s="37"/>
      <c r="U256" s="37" t="s">
        <v>128</v>
      </c>
      <c r="V256" s="37" t="s">
        <v>318</v>
      </c>
      <c r="W256" s="37" t="s">
        <v>122</v>
      </c>
      <c r="X256" s="37"/>
      <c r="Y256" s="37"/>
      <c r="Z256" s="37"/>
      <c r="AA256" s="37">
        <v>0.2</v>
      </c>
    </row>
    <row r="257" spans="1:27" x14ac:dyDescent="0.25">
      <c r="A257" s="37" t="s">
        <v>799</v>
      </c>
      <c r="B257" s="37" t="s">
        <v>115</v>
      </c>
      <c r="C257" s="37" t="s">
        <v>802</v>
      </c>
      <c r="D257" s="37" t="s">
        <v>466</v>
      </c>
      <c r="E257" s="37" t="s">
        <v>341</v>
      </c>
      <c r="F257" s="37"/>
      <c r="G257" s="37" t="s">
        <v>119</v>
      </c>
      <c r="H257" s="37" t="s">
        <v>341</v>
      </c>
      <c r="I257" s="37" t="s">
        <v>803</v>
      </c>
      <c r="J257" s="37" t="s">
        <v>135</v>
      </c>
      <c r="K257" s="37" t="s">
        <v>341</v>
      </c>
      <c r="L257" s="37" t="s">
        <v>122</v>
      </c>
      <c r="M257" s="37" t="s">
        <v>136</v>
      </c>
      <c r="N257" s="37" t="s">
        <v>341</v>
      </c>
      <c r="O257" s="37" t="s">
        <v>122</v>
      </c>
      <c r="P257" s="37" t="s">
        <v>469</v>
      </c>
      <c r="Q257" s="37" t="s">
        <v>125</v>
      </c>
      <c r="R257" s="37" t="s">
        <v>73</v>
      </c>
      <c r="S257" s="37" t="s">
        <v>127</v>
      </c>
      <c r="T257" s="37" t="s">
        <v>127</v>
      </c>
      <c r="U257" s="37" t="s">
        <v>128</v>
      </c>
      <c r="V257" s="37" t="s">
        <v>341</v>
      </c>
      <c r="W257" s="37" t="s">
        <v>122</v>
      </c>
      <c r="X257" s="37" t="s">
        <v>470</v>
      </c>
      <c r="Y257" s="37" t="s">
        <v>78</v>
      </c>
      <c r="Z257" s="37"/>
      <c r="AA257" s="37">
        <v>0.2</v>
      </c>
    </row>
    <row r="258" spans="1:27" x14ac:dyDescent="0.25">
      <c r="A258" s="37" t="s">
        <v>799</v>
      </c>
      <c r="B258" s="37" t="s">
        <v>130</v>
      </c>
      <c r="C258" s="37" t="s">
        <v>804</v>
      </c>
      <c r="D258" s="37" t="s">
        <v>132</v>
      </c>
      <c r="E258" s="37" t="s">
        <v>341</v>
      </c>
      <c r="F258" s="37"/>
      <c r="G258" s="37" t="s">
        <v>119</v>
      </c>
      <c r="H258" s="37" t="s">
        <v>318</v>
      </c>
      <c r="I258" s="37" t="s">
        <v>805</v>
      </c>
      <c r="J258" s="37" t="s">
        <v>121</v>
      </c>
      <c r="K258" s="37" t="s">
        <v>318</v>
      </c>
      <c r="L258" s="37" t="s">
        <v>122</v>
      </c>
      <c r="M258" s="37" t="s">
        <v>136</v>
      </c>
      <c r="N258" s="37" t="s">
        <v>78</v>
      </c>
      <c r="O258" s="37" t="s">
        <v>122</v>
      </c>
      <c r="P258" s="37"/>
      <c r="Q258" s="37"/>
      <c r="R258" s="37"/>
      <c r="S258" s="37"/>
      <c r="T258" s="37"/>
      <c r="U258" s="37" t="s">
        <v>128</v>
      </c>
      <c r="V258" s="37" t="s">
        <v>78</v>
      </c>
      <c r="W258" s="37" t="s">
        <v>122</v>
      </c>
      <c r="X258" s="37"/>
      <c r="Y258" s="37"/>
      <c r="Z258" s="37"/>
      <c r="AA258" s="37">
        <v>0.2</v>
      </c>
    </row>
    <row r="259" spans="1:27" x14ac:dyDescent="0.25">
      <c r="A259" s="37" t="s">
        <v>782</v>
      </c>
      <c r="B259" s="37" t="s">
        <v>242</v>
      </c>
      <c r="C259" s="37" t="s">
        <v>806</v>
      </c>
      <c r="D259" s="37" t="s">
        <v>457</v>
      </c>
      <c r="E259" s="37" t="s">
        <v>341</v>
      </c>
      <c r="F259" s="37"/>
      <c r="G259" s="37" t="s">
        <v>119</v>
      </c>
      <c r="H259" s="37" t="s">
        <v>219</v>
      </c>
      <c r="I259" s="37" t="s">
        <v>575</v>
      </c>
      <c r="J259" s="37" t="s">
        <v>135</v>
      </c>
      <c r="K259" s="37" t="s">
        <v>318</v>
      </c>
      <c r="L259" s="37" t="s">
        <v>122</v>
      </c>
      <c r="M259" s="37" t="s">
        <v>136</v>
      </c>
      <c r="N259" s="37" t="s">
        <v>78</v>
      </c>
      <c r="O259" s="37" t="s">
        <v>122</v>
      </c>
      <c r="P259" s="37"/>
      <c r="Q259" s="37"/>
      <c r="R259" s="37"/>
      <c r="S259" s="37"/>
      <c r="T259" s="37"/>
      <c r="U259" s="37" t="s">
        <v>128</v>
      </c>
      <c r="V259" s="37" t="s">
        <v>78</v>
      </c>
      <c r="W259" s="37" t="s">
        <v>122</v>
      </c>
      <c r="X259" s="37" t="s">
        <v>136</v>
      </c>
      <c r="Y259" s="37" t="s">
        <v>767</v>
      </c>
      <c r="Z259" s="37"/>
      <c r="AA259" s="37">
        <v>0.2</v>
      </c>
    </row>
    <row r="260" spans="1:27" x14ac:dyDescent="0.25">
      <c r="A260" s="37" t="s">
        <v>807</v>
      </c>
      <c r="B260" s="37" t="s">
        <v>362</v>
      </c>
      <c r="C260" s="37" t="s">
        <v>808</v>
      </c>
      <c r="D260" s="37" t="s">
        <v>123</v>
      </c>
      <c r="E260" s="37" t="s">
        <v>341</v>
      </c>
      <c r="F260" s="37" t="s">
        <v>809</v>
      </c>
      <c r="G260" s="37" t="s">
        <v>365</v>
      </c>
      <c r="H260" s="37" t="s">
        <v>341</v>
      </c>
      <c r="I260" s="37" t="s">
        <v>796</v>
      </c>
      <c r="J260" s="37" t="s">
        <v>121</v>
      </c>
      <c r="K260" s="37" t="s">
        <v>318</v>
      </c>
      <c r="L260" s="37" t="s">
        <v>122</v>
      </c>
      <c r="M260" s="37" t="s">
        <v>123</v>
      </c>
      <c r="N260" s="37" t="s">
        <v>318</v>
      </c>
      <c r="O260" s="37" t="s">
        <v>122</v>
      </c>
      <c r="P260" s="37"/>
      <c r="Q260" s="37"/>
      <c r="R260" s="37"/>
      <c r="S260" s="37"/>
      <c r="T260" s="37"/>
      <c r="U260" s="37" t="s">
        <v>128</v>
      </c>
      <c r="V260" s="37" t="s">
        <v>318</v>
      </c>
      <c r="W260" s="37" t="s">
        <v>122</v>
      </c>
      <c r="X260" s="37"/>
      <c r="Y260" s="37"/>
      <c r="Z260" s="37" t="s">
        <v>608</v>
      </c>
      <c r="AA260" s="37">
        <v>0.2</v>
      </c>
    </row>
    <row r="261" spans="1:27" x14ac:dyDescent="0.25">
      <c r="A261" s="37" t="s">
        <v>807</v>
      </c>
      <c r="B261" s="37" t="s">
        <v>130</v>
      </c>
      <c r="C261" s="37" t="s">
        <v>810</v>
      </c>
      <c r="D261" s="37" t="s">
        <v>132</v>
      </c>
      <c r="E261" s="37" t="s">
        <v>341</v>
      </c>
      <c r="F261" s="37"/>
      <c r="G261" s="37" t="s">
        <v>119</v>
      </c>
      <c r="H261" s="37" t="s">
        <v>318</v>
      </c>
      <c r="I261" s="37" t="s">
        <v>811</v>
      </c>
      <c r="J261" s="37" t="s">
        <v>121</v>
      </c>
      <c r="K261" s="37" t="s">
        <v>318</v>
      </c>
      <c r="L261" s="37" t="s">
        <v>122</v>
      </c>
      <c r="M261" s="37" t="s">
        <v>136</v>
      </c>
      <c r="N261" s="37" t="s">
        <v>78</v>
      </c>
      <c r="O261" s="37" t="s">
        <v>122</v>
      </c>
      <c r="P261" s="37"/>
      <c r="Q261" s="37"/>
      <c r="R261" s="37"/>
      <c r="S261" s="37"/>
      <c r="T261" s="37"/>
      <c r="U261" s="37" t="s">
        <v>128</v>
      </c>
      <c r="V261" s="37" t="s">
        <v>78</v>
      </c>
      <c r="W261" s="37" t="s">
        <v>122</v>
      </c>
      <c r="X261" s="37"/>
      <c r="Y261" s="37"/>
      <c r="Z261" s="37"/>
      <c r="AA261" s="37">
        <v>0.2</v>
      </c>
    </row>
    <row r="262" spans="1:27" x14ac:dyDescent="0.25">
      <c r="A262" s="37" t="s">
        <v>812</v>
      </c>
      <c r="B262" s="37" t="s">
        <v>130</v>
      </c>
      <c r="C262" s="37" t="s">
        <v>813</v>
      </c>
      <c r="D262" s="37" t="s">
        <v>132</v>
      </c>
      <c r="E262" s="37" t="s">
        <v>341</v>
      </c>
      <c r="F262" s="37"/>
      <c r="G262" s="37" t="s">
        <v>119</v>
      </c>
      <c r="H262" s="37" t="s">
        <v>318</v>
      </c>
      <c r="I262" s="37" t="s">
        <v>516</v>
      </c>
      <c r="J262" s="37" t="s">
        <v>121</v>
      </c>
      <c r="K262" s="37" t="s">
        <v>318</v>
      </c>
      <c r="L262" s="37" t="s">
        <v>122</v>
      </c>
      <c r="M262" s="37" t="s">
        <v>136</v>
      </c>
      <c r="N262" s="37" t="s">
        <v>78</v>
      </c>
      <c r="O262" s="37" t="s">
        <v>122</v>
      </c>
      <c r="P262" s="37"/>
      <c r="Q262" s="37"/>
      <c r="R262" s="37"/>
      <c r="S262" s="37"/>
      <c r="T262" s="37"/>
      <c r="U262" s="37" t="s">
        <v>128</v>
      </c>
      <c r="V262" s="37" t="s">
        <v>78</v>
      </c>
      <c r="W262" s="37" t="s">
        <v>122</v>
      </c>
      <c r="X262" s="37"/>
      <c r="Y262" s="37"/>
      <c r="Z262" s="37"/>
      <c r="AA262" s="37">
        <v>0.2</v>
      </c>
    </row>
    <row r="263" spans="1:27" x14ac:dyDescent="0.25">
      <c r="A263" s="37" t="s">
        <v>814</v>
      </c>
      <c r="B263" s="37" t="s">
        <v>130</v>
      </c>
      <c r="C263" s="37" t="s">
        <v>815</v>
      </c>
      <c r="D263" s="37" t="s">
        <v>132</v>
      </c>
      <c r="E263" s="37" t="s">
        <v>816</v>
      </c>
      <c r="F263" s="37"/>
      <c r="G263" s="37" t="s">
        <v>119</v>
      </c>
      <c r="H263" s="37" t="s">
        <v>318</v>
      </c>
      <c r="I263" s="37" t="s">
        <v>817</v>
      </c>
      <c r="J263" s="37" t="s">
        <v>121</v>
      </c>
      <c r="K263" s="37" t="s">
        <v>318</v>
      </c>
      <c r="L263" s="37" t="s">
        <v>122</v>
      </c>
      <c r="M263" s="37" t="s">
        <v>136</v>
      </c>
      <c r="N263" s="37" t="s">
        <v>78</v>
      </c>
      <c r="O263" s="37" t="s">
        <v>122</v>
      </c>
      <c r="P263" s="37"/>
      <c r="Q263" s="37"/>
      <c r="R263" s="37"/>
      <c r="S263" s="37"/>
      <c r="T263" s="37"/>
      <c r="U263" s="37" t="s">
        <v>128</v>
      </c>
      <c r="V263" s="37" t="s">
        <v>78</v>
      </c>
      <c r="W263" s="37" t="s">
        <v>122</v>
      </c>
      <c r="X263" s="37" t="s">
        <v>136</v>
      </c>
      <c r="Y263" s="37" t="s">
        <v>78</v>
      </c>
      <c r="Z263" s="37"/>
      <c r="AA263" s="37">
        <v>0.2</v>
      </c>
    </row>
    <row r="264" spans="1:27" x14ac:dyDescent="0.25">
      <c r="A264" s="37" t="s">
        <v>818</v>
      </c>
      <c r="B264" s="37" t="s">
        <v>130</v>
      </c>
      <c r="C264" s="37" t="s">
        <v>819</v>
      </c>
      <c r="D264" s="37" t="s">
        <v>132</v>
      </c>
      <c r="E264" s="37" t="s">
        <v>816</v>
      </c>
      <c r="F264" s="37"/>
      <c r="G264" s="37" t="s">
        <v>119</v>
      </c>
      <c r="H264" s="37" t="s">
        <v>318</v>
      </c>
      <c r="I264" s="37" t="s">
        <v>820</v>
      </c>
      <c r="J264" s="37" t="s">
        <v>121</v>
      </c>
      <c r="K264" s="37" t="s">
        <v>318</v>
      </c>
      <c r="L264" s="37" t="s">
        <v>122</v>
      </c>
      <c r="M264" s="37" t="s">
        <v>136</v>
      </c>
      <c r="N264" s="37" t="s">
        <v>78</v>
      </c>
      <c r="O264" s="37" t="s">
        <v>122</v>
      </c>
      <c r="P264" s="37"/>
      <c r="Q264" s="37"/>
      <c r="R264" s="37"/>
      <c r="S264" s="37"/>
      <c r="T264" s="37"/>
      <c r="U264" s="37" t="s">
        <v>128</v>
      </c>
      <c r="V264" s="37" t="s">
        <v>78</v>
      </c>
      <c r="W264" s="37" t="s">
        <v>122</v>
      </c>
      <c r="X264" s="37" t="s">
        <v>136</v>
      </c>
      <c r="Y264" s="37" t="s">
        <v>78</v>
      </c>
      <c r="Z264" s="37"/>
      <c r="AA264" s="37">
        <v>0.2</v>
      </c>
    </row>
    <row r="265" spans="1:27" x14ac:dyDescent="0.25">
      <c r="A265" s="37" t="s">
        <v>821</v>
      </c>
      <c r="B265" s="37" t="s">
        <v>167</v>
      </c>
      <c r="C265" s="37" t="s">
        <v>822</v>
      </c>
      <c r="D265" s="37" t="s">
        <v>178</v>
      </c>
      <c r="E265" s="37" t="s">
        <v>219</v>
      </c>
      <c r="F265" s="37"/>
      <c r="G265" s="37" t="s">
        <v>119</v>
      </c>
      <c r="H265" s="37" t="s">
        <v>427</v>
      </c>
      <c r="I265" s="37" t="s">
        <v>823</v>
      </c>
      <c r="J265" s="37" t="s">
        <v>121</v>
      </c>
      <c r="K265" s="37" t="s">
        <v>427</v>
      </c>
      <c r="L265" s="37" t="s">
        <v>122</v>
      </c>
      <c r="M265" s="37" t="s">
        <v>123</v>
      </c>
      <c r="N265" s="37" t="s">
        <v>427</v>
      </c>
      <c r="O265" s="37" t="s">
        <v>122</v>
      </c>
      <c r="P265" s="37" t="s">
        <v>747</v>
      </c>
      <c r="Q265" s="37" t="s">
        <v>230</v>
      </c>
      <c r="R265" s="37" t="s">
        <v>81</v>
      </c>
      <c r="S265" s="37" t="s">
        <v>127</v>
      </c>
      <c r="T265" s="37" t="s">
        <v>127</v>
      </c>
      <c r="U265" s="37" t="s">
        <v>128</v>
      </c>
      <c r="V265" s="37" t="s">
        <v>427</v>
      </c>
      <c r="W265" s="37" t="s">
        <v>122</v>
      </c>
      <c r="X265" s="37"/>
      <c r="Y265" s="37"/>
      <c r="Z265" s="37" t="s">
        <v>824</v>
      </c>
      <c r="AA265" s="37">
        <v>0.2</v>
      </c>
    </row>
    <row r="266" spans="1:27" x14ac:dyDescent="0.25">
      <c r="A266" s="37" t="s">
        <v>825</v>
      </c>
      <c r="B266" s="37" t="s">
        <v>167</v>
      </c>
      <c r="C266" s="37" t="s">
        <v>826</v>
      </c>
      <c r="D266" s="37" t="s">
        <v>178</v>
      </c>
      <c r="E266" s="37" t="s">
        <v>219</v>
      </c>
      <c r="F266" s="37"/>
      <c r="G266" s="37" t="s">
        <v>119</v>
      </c>
      <c r="H266" s="37" t="s">
        <v>427</v>
      </c>
      <c r="I266" s="37" t="s">
        <v>827</v>
      </c>
      <c r="J266" s="37" t="s">
        <v>121</v>
      </c>
      <c r="K266" s="37" t="s">
        <v>427</v>
      </c>
      <c r="L266" s="37" t="s">
        <v>122</v>
      </c>
      <c r="M266" s="37" t="s">
        <v>123</v>
      </c>
      <c r="N266" s="37" t="s">
        <v>427</v>
      </c>
      <c r="O266" s="37" t="s">
        <v>122</v>
      </c>
      <c r="P266" s="37" t="s">
        <v>747</v>
      </c>
      <c r="Q266" s="37" t="s">
        <v>230</v>
      </c>
      <c r="R266" s="37" t="s">
        <v>81</v>
      </c>
      <c r="S266" s="37" t="s">
        <v>127</v>
      </c>
      <c r="T266" s="37" t="s">
        <v>127</v>
      </c>
      <c r="U266" s="37" t="s">
        <v>128</v>
      </c>
      <c r="V266" s="37" t="s">
        <v>427</v>
      </c>
      <c r="W266" s="37" t="s">
        <v>122</v>
      </c>
      <c r="X266" s="37"/>
      <c r="Y266" s="37"/>
      <c r="Z266" s="37" t="s">
        <v>824</v>
      </c>
      <c r="AA266" s="37">
        <v>0.2</v>
      </c>
    </row>
    <row r="267" spans="1:27" x14ac:dyDescent="0.25">
      <c r="A267" s="37" t="s">
        <v>821</v>
      </c>
      <c r="B267" s="37" t="s">
        <v>130</v>
      </c>
      <c r="C267" s="37" t="s">
        <v>828</v>
      </c>
      <c r="D267" s="37" t="s">
        <v>132</v>
      </c>
      <c r="E267" s="37" t="s">
        <v>219</v>
      </c>
      <c r="F267" s="37"/>
      <c r="G267" s="37" t="s">
        <v>119</v>
      </c>
      <c r="H267" s="37" t="s">
        <v>318</v>
      </c>
      <c r="I267" s="37" t="s">
        <v>829</v>
      </c>
      <c r="J267" s="37" t="s">
        <v>121</v>
      </c>
      <c r="K267" s="37" t="s">
        <v>318</v>
      </c>
      <c r="L267" s="37" t="s">
        <v>122</v>
      </c>
      <c r="M267" s="37" t="s">
        <v>136</v>
      </c>
      <c r="N267" s="37" t="s">
        <v>78</v>
      </c>
      <c r="O267" s="37" t="s">
        <v>122</v>
      </c>
      <c r="P267" s="37"/>
      <c r="Q267" s="37"/>
      <c r="R267" s="37"/>
      <c r="S267" s="37"/>
      <c r="T267" s="37"/>
      <c r="U267" s="37" t="s">
        <v>128</v>
      </c>
      <c r="V267" s="37" t="s">
        <v>78</v>
      </c>
      <c r="W267" s="37" t="s">
        <v>122</v>
      </c>
      <c r="X267" s="37"/>
      <c r="Y267" s="37"/>
      <c r="Z267" s="37"/>
      <c r="AA267" s="37">
        <v>0.2</v>
      </c>
    </row>
    <row r="268" spans="1:27" x14ac:dyDescent="0.25">
      <c r="A268" s="37" t="s">
        <v>830</v>
      </c>
      <c r="B268" s="37" t="s">
        <v>167</v>
      </c>
      <c r="C268" s="37" t="s">
        <v>831</v>
      </c>
      <c r="D268" s="37" t="s">
        <v>169</v>
      </c>
      <c r="E268" s="37" t="s">
        <v>219</v>
      </c>
      <c r="F268" s="37"/>
      <c r="G268" s="37" t="s">
        <v>119</v>
      </c>
      <c r="H268" s="37" t="s">
        <v>219</v>
      </c>
      <c r="I268" s="37" t="s">
        <v>832</v>
      </c>
      <c r="J268" s="37" t="s">
        <v>121</v>
      </c>
      <c r="K268" s="37" t="s">
        <v>318</v>
      </c>
      <c r="L268" s="37" t="s">
        <v>122</v>
      </c>
      <c r="M268" s="37" t="s">
        <v>123</v>
      </c>
      <c r="N268" s="37" t="s">
        <v>73</v>
      </c>
      <c r="O268" s="37" t="s">
        <v>122</v>
      </c>
      <c r="P268" s="37" t="s">
        <v>747</v>
      </c>
      <c r="Q268" s="37" t="s">
        <v>174</v>
      </c>
      <c r="R268" s="37" t="s">
        <v>81</v>
      </c>
      <c r="S268" s="37" t="s">
        <v>127</v>
      </c>
      <c r="T268" s="37" t="s">
        <v>175</v>
      </c>
      <c r="U268" s="37" t="s">
        <v>128</v>
      </c>
      <c r="V268" s="37" t="s">
        <v>73</v>
      </c>
      <c r="W268" s="37" t="s">
        <v>122</v>
      </c>
      <c r="X268" s="37"/>
      <c r="Y268" s="37"/>
      <c r="Z268" s="37"/>
      <c r="AA268" s="37">
        <v>0.2</v>
      </c>
    </row>
    <row r="269" spans="1:27" x14ac:dyDescent="0.25">
      <c r="A269" s="37" t="s">
        <v>821</v>
      </c>
      <c r="B269" s="37" t="s">
        <v>529</v>
      </c>
      <c r="C269" s="37" t="s">
        <v>833</v>
      </c>
      <c r="D269" s="37" t="s">
        <v>457</v>
      </c>
      <c r="E269" s="37" t="s">
        <v>219</v>
      </c>
      <c r="F269" s="37"/>
      <c r="G269" s="37" t="s">
        <v>119</v>
      </c>
      <c r="H269" s="37" t="s">
        <v>219</v>
      </c>
      <c r="I269" s="37" t="s">
        <v>834</v>
      </c>
      <c r="J269" s="37" t="s">
        <v>135</v>
      </c>
      <c r="K269" s="37" t="s">
        <v>318</v>
      </c>
      <c r="L269" s="37" t="s">
        <v>122</v>
      </c>
      <c r="M269" s="37" t="s">
        <v>136</v>
      </c>
      <c r="N269" s="37" t="s">
        <v>78</v>
      </c>
      <c r="O269" s="37" t="s">
        <v>122</v>
      </c>
      <c r="P269" s="37"/>
      <c r="Q269" s="37"/>
      <c r="R269" s="37"/>
      <c r="S269" s="37"/>
      <c r="T269" s="37"/>
      <c r="U269" s="37" t="s">
        <v>128</v>
      </c>
      <c r="V269" s="37" t="s">
        <v>78</v>
      </c>
      <c r="W269" s="37" t="s">
        <v>122</v>
      </c>
      <c r="X269" s="37" t="s">
        <v>136</v>
      </c>
      <c r="Y269" s="37"/>
      <c r="Z269" s="37"/>
      <c r="AA269" s="37">
        <v>0.2</v>
      </c>
    </row>
    <row r="270" spans="1:27" x14ac:dyDescent="0.25">
      <c r="A270" s="37" t="s">
        <v>821</v>
      </c>
      <c r="B270" s="37" t="s">
        <v>532</v>
      </c>
      <c r="C270" s="37" t="s">
        <v>835</v>
      </c>
      <c r="D270" s="37" t="s">
        <v>214</v>
      </c>
      <c r="E270" s="37" t="s">
        <v>219</v>
      </c>
      <c r="F270" s="37" t="s">
        <v>836</v>
      </c>
      <c r="G270" s="37" t="s">
        <v>119</v>
      </c>
      <c r="H270" s="37" t="s">
        <v>318</v>
      </c>
      <c r="I270" s="37" t="s">
        <v>837</v>
      </c>
      <c r="J270" s="37" t="s">
        <v>135</v>
      </c>
      <c r="K270" s="37" t="s">
        <v>318</v>
      </c>
      <c r="L270" s="37" t="s">
        <v>122</v>
      </c>
      <c r="M270" s="37" t="s">
        <v>136</v>
      </c>
      <c r="N270" s="37" t="s">
        <v>73</v>
      </c>
      <c r="O270" s="37" t="s">
        <v>122</v>
      </c>
      <c r="P270" s="37"/>
      <c r="Q270" s="37"/>
      <c r="R270" s="37"/>
      <c r="S270" s="37"/>
      <c r="T270" s="37"/>
      <c r="U270" s="37" t="s">
        <v>128</v>
      </c>
      <c r="V270" s="37" t="s">
        <v>73</v>
      </c>
      <c r="W270" s="37" t="s">
        <v>122</v>
      </c>
      <c r="X270" s="37"/>
      <c r="Y270" s="37"/>
      <c r="Z270" s="37"/>
      <c r="AA270" s="37">
        <v>0.2</v>
      </c>
    </row>
    <row r="271" spans="1:27" x14ac:dyDescent="0.25">
      <c r="A271" s="37" t="s">
        <v>821</v>
      </c>
      <c r="B271" s="37" t="s">
        <v>838</v>
      </c>
      <c r="C271" s="37" t="s">
        <v>839</v>
      </c>
      <c r="D271" s="37" t="s">
        <v>178</v>
      </c>
      <c r="E271" s="37" t="s">
        <v>219</v>
      </c>
      <c r="F271" s="37"/>
      <c r="G271" s="37" t="s">
        <v>119</v>
      </c>
      <c r="H271" s="37" t="s">
        <v>427</v>
      </c>
      <c r="I271" s="37" t="s">
        <v>840</v>
      </c>
      <c r="J271" s="37" t="s">
        <v>121</v>
      </c>
      <c r="K271" s="37" t="s">
        <v>427</v>
      </c>
      <c r="L271" s="37" t="s">
        <v>122</v>
      </c>
      <c r="M271" s="37" t="s">
        <v>123</v>
      </c>
      <c r="N271" s="37" t="s">
        <v>427</v>
      </c>
      <c r="O271" s="37" t="s">
        <v>122</v>
      </c>
      <c r="P271" s="37"/>
      <c r="Q271" s="37"/>
      <c r="R271" s="37"/>
      <c r="S271" s="37"/>
      <c r="T271" s="37"/>
      <c r="U271" s="37" t="s">
        <v>128</v>
      </c>
      <c r="V271" s="37" t="s">
        <v>427</v>
      </c>
      <c r="W271" s="37" t="s">
        <v>122</v>
      </c>
      <c r="X271" s="37"/>
      <c r="Y271" s="37"/>
      <c r="Z271" s="37"/>
      <c r="AA271" s="37">
        <v>0.2</v>
      </c>
    </row>
    <row r="272" spans="1:27" x14ac:dyDescent="0.25">
      <c r="A272" s="37" t="s">
        <v>825</v>
      </c>
      <c r="B272" s="37" t="s">
        <v>130</v>
      </c>
      <c r="C272" s="37" t="s">
        <v>841</v>
      </c>
      <c r="D272" s="37" t="s">
        <v>146</v>
      </c>
      <c r="E272" s="37" t="s">
        <v>219</v>
      </c>
      <c r="F272" s="37"/>
      <c r="G272" s="37" t="s">
        <v>147</v>
      </c>
      <c r="H272" s="37" t="s">
        <v>219</v>
      </c>
      <c r="I272" s="37" t="s">
        <v>148</v>
      </c>
      <c r="J272" s="37" t="s">
        <v>149</v>
      </c>
      <c r="K272" s="37" t="s">
        <v>73</v>
      </c>
      <c r="L272" s="37" t="s">
        <v>122</v>
      </c>
      <c r="M272" s="37" t="s">
        <v>136</v>
      </c>
      <c r="N272" s="37" t="s">
        <v>78</v>
      </c>
      <c r="O272" s="37" t="s">
        <v>122</v>
      </c>
      <c r="P272" s="37"/>
      <c r="Q272" s="37"/>
      <c r="R272" s="37"/>
      <c r="S272" s="37"/>
      <c r="T272" s="37"/>
      <c r="U272" s="37" t="s">
        <v>128</v>
      </c>
      <c r="V272" s="37" t="s">
        <v>78</v>
      </c>
      <c r="W272" s="37" t="s">
        <v>122</v>
      </c>
      <c r="X272" s="37" t="s">
        <v>136</v>
      </c>
      <c r="Y272" s="37" t="s">
        <v>78</v>
      </c>
      <c r="Z272" s="37"/>
      <c r="AA272" s="37">
        <v>0.2</v>
      </c>
    </row>
    <row r="273" spans="1:27" x14ac:dyDescent="0.25">
      <c r="A273" s="37" t="s">
        <v>830</v>
      </c>
      <c r="B273" s="37" t="s">
        <v>130</v>
      </c>
      <c r="C273" s="37" t="s">
        <v>842</v>
      </c>
      <c r="D273" s="37" t="s">
        <v>146</v>
      </c>
      <c r="E273" s="37" t="s">
        <v>219</v>
      </c>
      <c r="F273" s="37"/>
      <c r="G273" s="37" t="s">
        <v>147</v>
      </c>
      <c r="H273" s="37" t="s">
        <v>219</v>
      </c>
      <c r="I273" s="37" t="s">
        <v>148</v>
      </c>
      <c r="J273" s="37" t="s">
        <v>149</v>
      </c>
      <c r="K273" s="37" t="s">
        <v>73</v>
      </c>
      <c r="L273" s="37" t="s">
        <v>122</v>
      </c>
      <c r="M273" s="37" t="s">
        <v>136</v>
      </c>
      <c r="N273" s="37" t="s">
        <v>78</v>
      </c>
      <c r="O273" s="37" t="s">
        <v>122</v>
      </c>
      <c r="P273" s="37"/>
      <c r="Q273" s="37"/>
      <c r="R273" s="37"/>
      <c r="S273" s="37"/>
      <c r="T273" s="37"/>
      <c r="U273" s="37" t="s">
        <v>128</v>
      </c>
      <c r="V273" s="37" t="s">
        <v>78</v>
      </c>
      <c r="W273" s="37" t="s">
        <v>122</v>
      </c>
      <c r="X273" s="37" t="s">
        <v>136</v>
      </c>
      <c r="Y273" s="37" t="s">
        <v>78</v>
      </c>
      <c r="Z273" s="37"/>
      <c r="AA273" s="37">
        <v>0.2</v>
      </c>
    </row>
    <row r="274" spans="1:27" x14ac:dyDescent="0.25">
      <c r="A274" s="37" t="s">
        <v>843</v>
      </c>
      <c r="B274" s="37" t="s">
        <v>167</v>
      </c>
      <c r="C274" s="37" t="s">
        <v>844</v>
      </c>
      <c r="D274" s="37" t="s">
        <v>169</v>
      </c>
      <c r="E274" s="37" t="s">
        <v>219</v>
      </c>
      <c r="F274" s="37" t="s">
        <v>845</v>
      </c>
      <c r="G274" s="37" t="s">
        <v>119</v>
      </c>
      <c r="H274" s="37" t="s">
        <v>219</v>
      </c>
      <c r="I274" s="37" t="s">
        <v>846</v>
      </c>
      <c r="J274" s="37" t="s">
        <v>121</v>
      </c>
      <c r="K274" s="37" t="s">
        <v>318</v>
      </c>
      <c r="L274" s="37" t="s">
        <v>122</v>
      </c>
      <c r="M274" s="37" t="s">
        <v>123</v>
      </c>
      <c r="N274" s="37" t="s">
        <v>73</v>
      </c>
      <c r="O274" s="37" t="s">
        <v>122</v>
      </c>
      <c r="P274" s="37" t="s">
        <v>747</v>
      </c>
      <c r="Q274" s="37" t="s">
        <v>174</v>
      </c>
      <c r="R274" s="37" t="s">
        <v>81</v>
      </c>
      <c r="S274" s="37" t="s">
        <v>127</v>
      </c>
      <c r="T274" s="37" t="s">
        <v>127</v>
      </c>
      <c r="U274" s="37" t="s">
        <v>128</v>
      </c>
      <c r="V274" s="37" t="s">
        <v>73</v>
      </c>
      <c r="W274" s="37" t="s">
        <v>122</v>
      </c>
      <c r="X274" s="37"/>
      <c r="Y274" s="37"/>
      <c r="Z274" s="37"/>
      <c r="AA274" s="37">
        <v>0.2</v>
      </c>
    </row>
    <row r="275" spans="1:27" x14ac:dyDescent="0.25">
      <c r="A275" s="37" t="s">
        <v>843</v>
      </c>
      <c r="B275" s="37" t="s">
        <v>130</v>
      </c>
      <c r="C275" s="37" t="s">
        <v>847</v>
      </c>
      <c r="D275" s="37" t="s">
        <v>146</v>
      </c>
      <c r="E275" s="37" t="s">
        <v>219</v>
      </c>
      <c r="F275" s="37"/>
      <c r="G275" s="37" t="s">
        <v>147</v>
      </c>
      <c r="H275" s="37" t="s">
        <v>219</v>
      </c>
      <c r="I275" s="37" t="s">
        <v>148</v>
      </c>
      <c r="J275" s="37" t="s">
        <v>149</v>
      </c>
      <c r="K275" s="37" t="s">
        <v>73</v>
      </c>
      <c r="L275" s="37" t="s">
        <v>122</v>
      </c>
      <c r="M275" s="37" t="s">
        <v>136</v>
      </c>
      <c r="N275" s="37" t="s">
        <v>78</v>
      </c>
      <c r="O275" s="37" t="s">
        <v>122</v>
      </c>
      <c r="P275" s="37"/>
      <c r="Q275" s="37"/>
      <c r="R275" s="37"/>
      <c r="S275" s="37"/>
      <c r="T275" s="37"/>
      <c r="U275" s="37" t="s">
        <v>128</v>
      </c>
      <c r="V275" s="37" t="s">
        <v>78</v>
      </c>
      <c r="W275" s="37" t="s">
        <v>122</v>
      </c>
      <c r="X275" s="37" t="s">
        <v>136</v>
      </c>
      <c r="Y275" s="37" t="s">
        <v>78</v>
      </c>
      <c r="Z275" s="37"/>
      <c r="AA275" s="37">
        <v>0.2</v>
      </c>
    </row>
    <row r="276" spans="1:27" x14ac:dyDescent="0.25">
      <c r="A276" s="37" t="s">
        <v>848</v>
      </c>
      <c r="B276" s="37" t="s">
        <v>130</v>
      </c>
      <c r="C276" s="37" t="s">
        <v>849</v>
      </c>
      <c r="D276" s="37" t="s">
        <v>132</v>
      </c>
      <c r="E276" s="37" t="s">
        <v>219</v>
      </c>
      <c r="F276" s="37"/>
      <c r="G276" s="37" t="s">
        <v>119</v>
      </c>
      <c r="H276" s="37" t="s">
        <v>318</v>
      </c>
      <c r="I276" s="37" t="s">
        <v>850</v>
      </c>
      <c r="J276" s="37" t="s">
        <v>121</v>
      </c>
      <c r="K276" s="37" t="s">
        <v>318</v>
      </c>
      <c r="L276" s="37" t="s">
        <v>122</v>
      </c>
      <c r="M276" s="37" t="s">
        <v>136</v>
      </c>
      <c r="N276" s="37" t="s">
        <v>78</v>
      </c>
      <c r="O276" s="37" t="s">
        <v>122</v>
      </c>
      <c r="P276" s="37"/>
      <c r="Q276" s="37"/>
      <c r="R276" s="37"/>
      <c r="S276" s="37"/>
      <c r="T276" s="37"/>
      <c r="U276" s="37" t="s">
        <v>128</v>
      </c>
      <c r="V276" s="37" t="s">
        <v>78</v>
      </c>
      <c r="W276" s="37" t="s">
        <v>122</v>
      </c>
      <c r="X276" s="37"/>
      <c r="Y276" s="37"/>
      <c r="Z276" s="37"/>
      <c r="AA276" s="37">
        <v>0.2</v>
      </c>
    </row>
    <row r="277" spans="1:27" x14ac:dyDescent="0.25">
      <c r="A277" s="37" t="s">
        <v>821</v>
      </c>
      <c r="B277" s="37" t="s">
        <v>115</v>
      </c>
      <c r="C277" s="37" t="s">
        <v>851</v>
      </c>
      <c r="D277" s="37" t="s">
        <v>117</v>
      </c>
      <c r="E277" s="37" t="s">
        <v>219</v>
      </c>
      <c r="F277" s="37"/>
      <c r="G277" s="37" t="s">
        <v>119</v>
      </c>
      <c r="H277" s="37" t="s">
        <v>73</v>
      </c>
      <c r="I277" s="37" t="s">
        <v>852</v>
      </c>
      <c r="J277" s="37" t="s">
        <v>121</v>
      </c>
      <c r="K277" s="37" t="s">
        <v>73</v>
      </c>
      <c r="L277" s="37" t="s">
        <v>122</v>
      </c>
      <c r="M277" s="37" t="s">
        <v>123</v>
      </c>
      <c r="N277" s="37" t="s">
        <v>78</v>
      </c>
      <c r="O277" s="37" t="s">
        <v>122</v>
      </c>
      <c r="P277" s="37" t="s">
        <v>547</v>
      </c>
      <c r="Q277" s="37" t="s">
        <v>125</v>
      </c>
      <c r="R277" s="37" t="s">
        <v>427</v>
      </c>
      <c r="S277" s="37" t="s">
        <v>127</v>
      </c>
      <c r="T277" s="37" t="s">
        <v>127</v>
      </c>
      <c r="U277" s="37" t="s">
        <v>128</v>
      </c>
      <c r="V277" s="37" t="s">
        <v>78</v>
      </c>
      <c r="W277" s="37" t="s">
        <v>122</v>
      </c>
      <c r="X277" s="37"/>
      <c r="Y277" s="37"/>
      <c r="Z277" s="37"/>
      <c r="AA277" s="37">
        <v>0.2</v>
      </c>
    </row>
    <row r="278" spans="1:27" x14ac:dyDescent="0.25">
      <c r="A278" s="37" t="s">
        <v>821</v>
      </c>
      <c r="B278" s="37" t="s">
        <v>362</v>
      </c>
      <c r="C278" s="37" t="s">
        <v>853</v>
      </c>
      <c r="D278" s="37" t="s">
        <v>503</v>
      </c>
      <c r="E278" s="37" t="s">
        <v>219</v>
      </c>
      <c r="F278" s="37"/>
      <c r="G278" s="37" t="s">
        <v>365</v>
      </c>
      <c r="H278" s="37" t="s">
        <v>78</v>
      </c>
      <c r="I278" s="37" t="s">
        <v>148</v>
      </c>
      <c r="J278" s="37" t="s">
        <v>149</v>
      </c>
      <c r="K278" s="37" t="s">
        <v>78</v>
      </c>
      <c r="L278" s="37" t="s">
        <v>122</v>
      </c>
      <c r="M278" s="37" t="s">
        <v>470</v>
      </c>
      <c r="N278" s="37" t="s">
        <v>698</v>
      </c>
      <c r="O278" s="37" t="s">
        <v>122</v>
      </c>
      <c r="P278" s="37"/>
      <c r="Q278" s="37"/>
      <c r="R278" s="37"/>
      <c r="S278" s="37"/>
      <c r="T278" s="37"/>
      <c r="U278" s="37" t="s">
        <v>128</v>
      </c>
      <c r="V278" s="37" t="s">
        <v>698</v>
      </c>
      <c r="W278" s="37" t="s">
        <v>122</v>
      </c>
      <c r="X278" s="37"/>
      <c r="Y278" s="37"/>
      <c r="Z278" s="37"/>
      <c r="AA278" s="37">
        <v>0.2</v>
      </c>
    </row>
    <row r="279" spans="1:27" x14ac:dyDescent="0.25">
      <c r="A279" s="37" t="s">
        <v>854</v>
      </c>
      <c r="B279" s="37" t="s">
        <v>130</v>
      </c>
      <c r="C279" s="37" t="s">
        <v>855</v>
      </c>
      <c r="D279" s="37" t="s">
        <v>132</v>
      </c>
      <c r="E279" s="37" t="s">
        <v>219</v>
      </c>
      <c r="F279" s="37"/>
      <c r="G279" s="37" t="s">
        <v>119</v>
      </c>
      <c r="H279" s="37" t="s">
        <v>318</v>
      </c>
      <c r="I279" s="37" t="s">
        <v>856</v>
      </c>
      <c r="J279" s="37" t="s">
        <v>121</v>
      </c>
      <c r="K279" s="37" t="s">
        <v>318</v>
      </c>
      <c r="L279" s="37" t="s">
        <v>122</v>
      </c>
      <c r="M279" s="37" t="s">
        <v>136</v>
      </c>
      <c r="N279" s="37" t="s">
        <v>78</v>
      </c>
      <c r="O279" s="37" t="s">
        <v>122</v>
      </c>
      <c r="P279" s="37"/>
      <c r="Q279" s="37"/>
      <c r="R279" s="37"/>
      <c r="S279" s="37"/>
      <c r="T279" s="37"/>
      <c r="U279" s="37" t="s">
        <v>128</v>
      </c>
      <c r="V279" s="37" t="s">
        <v>78</v>
      </c>
      <c r="W279" s="37" t="s">
        <v>122</v>
      </c>
      <c r="X279" s="37"/>
      <c r="Y279" s="37"/>
      <c r="Z279" s="37"/>
      <c r="AA279" s="37">
        <v>0.2</v>
      </c>
    </row>
    <row r="280" spans="1:27" x14ac:dyDescent="0.25">
      <c r="A280" s="37" t="s">
        <v>821</v>
      </c>
      <c r="B280" s="37" t="s">
        <v>251</v>
      </c>
      <c r="C280" s="37" t="s">
        <v>857</v>
      </c>
      <c r="D280" s="37" t="s">
        <v>117</v>
      </c>
      <c r="E280" s="37" t="s">
        <v>219</v>
      </c>
      <c r="F280" s="37"/>
      <c r="G280" s="37" t="s">
        <v>119</v>
      </c>
      <c r="H280" s="37" t="s">
        <v>427</v>
      </c>
      <c r="I280" s="37" t="s">
        <v>688</v>
      </c>
      <c r="J280" s="37" t="s">
        <v>121</v>
      </c>
      <c r="K280" s="37" t="s">
        <v>427</v>
      </c>
      <c r="L280" s="37" t="s">
        <v>122</v>
      </c>
      <c r="M280" s="37" t="s">
        <v>123</v>
      </c>
      <c r="N280" s="37" t="s">
        <v>698</v>
      </c>
      <c r="O280" s="37" t="s">
        <v>122</v>
      </c>
      <c r="P280" s="37"/>
      <c r="Q280" s="37"/>
      <c r="R280" s="37"/>
      <c r="S280" s="37"/>
      <c r="T280" s="37"/>
      <c r="U280" s="37" t="s">
        <v>128</v>
      </c>
      <c r="V280" s="37" t="s">
        <v>698</v>
      </c>
      <c r="W280" s="37" t="s">
        <v>122</v>
      </c>
      <c r="X280" s="37"/>
      <c r="Y280" s="37"/>
      <c r="Z280" s="37"/>
      <c r="AA280" s="37">
        <v>0.2</v>
      </c>
    </row>
    <row r="281" spans="1:27" x14ac:dyDescent="0.25">
      <c r="A281" s="37" t="s">
        <v>858</v>
      </c>
      <c r="B281" s="37" t="s">
        <v>130</v>
      </c>
      <c r="C281" s="37" t="s">
        <v>859</v>
      </c>
      <c r="D281" s="37" t="s">
        <v>146</v>
      </c>
      <c r="E281" s="37" t="s">
        <v>219</v>
      </c>
      <c r="F281" s="37"/>
      <c r="G281" s="37" t="s">
        <v>147</v>
      </c>
      <c r="H281" s="37" t="s">
        <v>219</v>
      </c>
      <c r="I281" s="37" t="s">
        <v>148</v>
      </c>
      <c r="J281" s="37" t="s">
        <v>149</v>
      </c>
      <c r="K281" s="37" t="s">
        <v>73</v>
      </c>
      <c r="L281" s="37" t="s">
        <v>122</v>
      </c>
      <c r="M281" s="37" t="s">
        <v>136</v>
      </c>
      <c r="N281" s="37" t="s">
        <v>78</v>
      </c>
      <c r="O281" s="37" t="s">
        <v>122</v>
      </c>
      <c r="P281" s="37"/>
      <c r="Q281" s="37"/>
      <c r="R281" s="37"/>
      <c r="S281" s="37"/>
      <c r="T281" s="37"/>
      <c r="U281" s="37" t="s">
        <v>128</v>
      </c>
      <c r="V281" s="37" t="s">
        <v>78</v>
      </c>
      <c r="W281" s="37" t="s">
        <v>122</v>
      </c>
      <c r="X281" s="37" t="s">
        <v>136</v>
      </c>
      <c r="Y281" s="37" t="s">
        <v>78</v>
      </c>
      <c r="Z281" s="37"/>
      <c r="AA281" s="37">
        <v>0.2</v>
      </c>
    </row>
    <row r="282" spans="1:27" x14ac:dyDescent="0.25">
      <c r="A282" s="37" t="s">
        <v>830</v>
      </c>
      <c r="B282" s="37" t="s">
        <v>115</v>
      </c>
      <c r="C282" s="37" t="s">
        <v>860</v>
      </c>
      <c r="D282" s="37" t="s">
        <v>121</v>
      </c>
      <c r="E282" s="37" t="s">
        <v>219</v>
      </c>
      <c r="F282" s="37"/>
      <c r="G282" s="37" t="s">
        <v>350</v>
      </c>
      <c r="H282" s="37" t="s">
        <v>73</v>
      </c>
      <c r="I282" s="37" t="s">
        <v>861</v>
      </c>
      <c r="J282" s="37" t="s">
        <v>149</v>
      </c>
      <c r="K282" s="37" t="s">
        <v>73</v>
      </c>
      <c r="L282" s="37" t="s">
        <v>122</v>
      </c>
      <c r="M282" s="37" t="s">
        <v>123</v>
      </c>
      <c r="N282" s="37" t="s">
        <v>78</v>
      </c>
      <c r="O282" s="37" t="s">
        <v>122</v>
      </c>
      <c r="P282" s="37" t="s">
        <v>547</v>
      </c>
      <c r="Q282" s="37" t="s">
        <v>353</v>
      </c>
      <c r="R282" s="37" t="s">
        <v>427</v>
      </c>
      <c r="S282" s="37" t="s">
        <v>127</v>
      </c>
      <c r="T282" s="37" t="s">
        <v>127</v>
      </c>
      <c r="U282" s="37" t="s">
        <v>128</v>
      </c>
      <c r="V282" s="37" t="s">
        <v>78</v>
      </c>
      <c r="W282" s="37" t="s">
        <v>122</v>
      </c>
      <c r="X282" s="37"/>
      <c r="Y282" s="37"/>
      <c r="Z282" s="37"/>
      <c r="AA282" s="37">
        <v>0.2</v>
      </c>
    </row>
    <row r="283" spans="1:27" x14ac:dyDescent="0.25">
      <c r="A283" s="37" t="s">
        <v>825</v>
      </c>
      <c r="B283" s="37" t="s">
        <v>362</v>
      </c>
      <c r="C283" s="37" t="s">
        <v>862</v>
      </c>
      <c r="D283" s="37" t="s">
        <v>123</v>
      </c>
      <c r="E283" s="37" t="s">
        <v>219</v>
      </c>
      <c r="F283" s="37"/>
      <c r="G283" s="37" t="s">
        <v>365</v>
      </c>
      <c r="H283" s="37" t="s">
        <v>219</v>
      </c>
      <c r="I283" s="37" t="s">
        <v>148</v>
      </c>
      <c r="J283" s="37" t="s">
        <v>121</v>
      </c>
      <c r="K283" s="37" t="s">
        <v>318</v>
      </c>
      <c r="L283" s="37" t="s">
        <v>122</v>
      </c>
      <c r="M283" s="37" t="s">
        <v>123</v>
      </c>
      <c r="N283" s="37" t="s">
        <v>318</v>
      </c>
      <c r="O283" s="37" t="s">
        <v>122</v>
      </c>
      <c r="P283" s="37" t="s">
        <v>564</v>
      </c>
      <c r="Q283" s="37" t="s">
        <v>440</v>
      </c>
      <c r="R283" s="37" t="s">
        <v>81</v>
      </c>
      <c r="S283" s="37" t="s">
        <v>127</v>
      </c>
      <c r="T283" s="37" t="s">
        <v>127</v>
      </c>
      <c r="U283" s="37" t="s">
        <v>128</v>
      </c>
      <c r="V283" s="37" t="s">
        <v>318</v>
      </c>
      <c r="W283" s="37" t="s">
        <v>122</v>
      </c>
      <c r="X283" s="37" t="s">
        <v>123</v>
      </c>
      <c r="Y283" s="37" t="s">
        <v>81</v>
      </c>
      <c r="Z283" s="37"/>
      <c r="AA283" s="37">
        <v>0.2</v>
      </c>
    </row>
    <row r="284" spans="1:27" x14ac:dyDescent="0.25">
      <c r="A284" s="37" t="s">
        <v>863</v>
      </c>
      <c r="B284" s="37" t="s">
        <v>130</v>
      </c>
      <c r="C284" s="37" t="s">
        <v>864</v>
      </c>
      <c r="D284" s="37" t="s">
        <v>132</v>
      </c>
      <c r="E284" s="37" t="s">
        <v>219</v>
      </c>
      <c r="F284" s="37"/>
      <c r="G284" s="37" t="s">
        <v>119</v>
      </c>
      <c r="H284" s="37" t="s">
        <v>318</v>
      </c>
      <c r="I284" s="37" t="s">
        <v>865</v>
      </c>
      <c r="J284" s="37" t="s">
        <v>121</v>
      </c>
      <c r="K284" s="37" t="s">
        <v>318</v>
      </c>
      <c r="L284" s="37" t="s">
        <v>122</v>
      </c>
      <c r="M284" s="37" t="s">
        <v>136</v>
      </c>
      <c r="N284" s="37" t="s">
        <v>78</v>
      </c>
      <c r="O284" s="37" t="s">
        <v>122</v>
      </c>
      <c r="P284" s="37"/>
      <c r="Q284" s="37"/>
      <c r="R284" s="37"/>
      <c r="S284" s="37"/>
      <c r="T284" s="37"/>
      <c r="U284" s="37" t="s">
        <v>128</v>
      </c>
      <c r="V284" s="37" t="s">
        <v>78</v>
      </c>
      <c r="W284" s="37" t="s">
        <v>122</v>
      </c>
      <c r="X284" s="37"/>
      <c r="Y284" s="37"/>
      <c r="Z284" s="37"/>
      <c r="AA284" s="37">
        <v>0.2</v>
      </c>
    </row>
    <row r="285" spans="1:27" x14ac:dyDescent="0.25">
      <c r="A285" s="37" t="s">
        <v>866</v>
      </c>
      <c r="B285" s="37" t="s">
        <v>176</v>
      </c>
      <c r="C285" s="37" t="s">
        <v>867</v>
      </c>
      <c r="D285" s="37" t="s">
        <v>214</v>
      </c>
      <c r="E285" s="37" t="s">
        <v>318</v>
      </c>
      <c r="F285" s="37"/>
      <c r="G285" s="37" t="s">
        <v>119</v>
      </c>
      <c r="H285" s="37" t="s">
        <v>318</v>
      </c>
      <c r="I285" s="37" t="s">
        <v>868</v>
      </c>
      <c r="J285" s="37" t="s">
        <v>121</v>
      </c>
      <c r="K285" s="37" t="s">
        <v>318</v>
      </c>
      <c r="L285" s="37" t="s">
        <v>122</v>
      </c>
      <c r="M285" s="37" t="s">
        <v>136</v>
      </c>
      <c r="N285" s="37" t="s">
        <v>73</v>
      </c>
      <c r="O285" s="37" t="s">
        <v>122</v>
      </c>
      <c r="P285" s="37"/>
      <c r="Q285" s="37"/>
      <c r="R285" s="37"/>
      <c r="S285" s="37"/>
      <c r="T285" s="37"/>
      <c r="U285" s="37" t="s">
        <v>128</v>
      </c>
      <c r="V285" s="37" t="s">
        <v>73</v>
      </c>
      <c r="W285" s="37" t="s">
        <v>122</v>
      </c>
      <c r="X285" s="37"/>
      <c r="Y285" s="37"/>
      <c r="Z285" s="37"/>
      <c r="AA285" s="37">
        <v>0.2</v>
      </c>
    </row>
    <row r="286" spans="1:27" x14ac:dyDescent="0.25">
      <c r="A286" s="37" t="s">
        <v>866</v>
      </c>
      <c r="B286" s="37" t="s">
        <v>130</v>
      </c>
      <c r="C286" s="37" t="s">
        <v>869</v>
      </c>
      <c r="D286" s="37" t="s">
        <v>146</v>
      </c>
      <c r="E286" s="37" t="s">
        <v>318</v>
      </c>
      <c r="F286" s="37"/>
      <c r="G286" s="37" t="s">
        <v>147</v>
      </c>
      <c r="H286" s="37" t="s">
        <v>73</v>
      </c>
      <c r="I286" s="37" t="s">
        <v>148</v>
      </c>
      <c r="J286" s="37" t="s">
        <v>149</v>
      </c>
      <c r="K286" s="37" t="s">
        <v>73</v>
      </c>
      <c r="L286" s="37" t="s">
        <v>122</v>
      </c>
      <c r="M286" s="37" t="s">
        <v>136</v>
      </c>
      <c r="N286" s="37" t="s">
        <v>78</v>
      </c>
      <c r="O286" s="37" t="s">
        <v>122</v>
      </c>
      <c r="P286" s="37"/>
      <c r="Q286" s="37"/>
      <c r="R286" s="37"/>
      <c r="S286" s="37"/>
      <c r="T286" s="37"/>
      <c r="U286" s="37" t="s">
        <v>128</v>
      </c>
      <c r="V286" s="37" t="s">
        <v>78</v>
      </c>
      <c r="W286" s="37" t="s">
        <v>122</v>
      </c>
      <c r="X286" s="37"/>
      <c r="Y286" s="37"/>
      <c r="Z286" s="37"/>
      <c r="AA286" s="37">
        <v>0.2</v>
      </c>
    </row>
    <row r="287" spans="1:27" x14ac:dyDescent="0.25">
      <c r="A287" s="37" t="s">
        <v>870</v>
      </c>
      <c r="B287" s="37" t="s">
        <v>115</v>
      </c>
      <c r="C287" s="37" t="s">
        <v>871</v>
      </c>
      <c r="D287" s="37" t="s">
        <v>117</v>
      </c>
      <c r="E287" s="37" t="s">
        <v>318</v>
      </c>
      <c r="F287" s="37"/>
      <c r="G287" s="37" t="s">
        <v>119</v>
      </c>
      <c r="H287" s="37" t="s">
        <v>73</v>
      </c>
      <c r="I287" s="37" t="s">
        <v>872</v>
      </c>
      <c r="J287" s="37" t="s">
        <v>121</v>
      </c>
      <c r="K287" s="37" t="s">
        <v>73</v>
      </c>
      <c r="L287" s="37" t="s">
        <v>122</v>
      </c>
      <c r="M287" s="37" t="s">
        <v>123</v>
      </c>
      <c r="N287" s="37" t="s">
        <v>78</v>
      </c>
      <c r="O287" s="37" t="s">
        <v>122</v>
      </c>
      <c r="P287" s="37" t="s">
        <v>547</v>
      </c>
      <c r="Q287" s="37" t="s">
        <v>125</v>
      </c>
      <c r="R287" s="37" t="s">
        <v>427</v>
      </c>
      <c r="S287" s="37" t="s">
        <v>127</v>
      </c>
      <c r="T287" s="37" t="s">
        <v>127</v>
      </c>
      <c r="U287" s="37" t="s">
        <v>128</v>
      </c>
      <c r="V287" s="37" t="s">
        <v>78</v>
      </c>
      <c r="W287" s="37" t="s">
        <v>122</v>
      </c>
      <c r="X287" s="37"/>
      <c r="Y287" s="37"/>
      <c r="Z287" s="37"/>
      <c r="AA287" s="37">
        <v>0.2</v>
      </c>
    </row>
    <row r="288" spans="1:27" x14ac:dyDescent="0.25">
      <c r="A288" s="37" t="s">
        <v>870</v>
      </c>
      <c r="B288" s="37" t="s">
        <v>130</v>
      </c>
      <c r="C288" s="37" t="s">
        <v>873</v>
      </c>
      <c r="D288" s="37" t="s">
        <v>146</v>
      </c>
      <c r="E288" s="37" t="s">
        <v>318</v>
      </c>
      <c r="F288" s="37"/>
      <c r="G288" s="37" t="s">
        <v>147</v>
      </c>
      <c r="H288" s="37" t="s">
        <v>73</v>
      </c>
      <c r="I288" s="37" t="s">
        <v>148</v>
      </c>
      <c r="J288" s="37" t="s">
        <v>149</v>
      </c>
      <c r="K288" s="37" t="s">
        <v>73</v>
      </c>
      <c r="L288" s="37" t="s">
        <v>122</v>
      </c>
      <c r="M288" s="37" t="s">
        <v>136</v>
      </c>
      <c r="N288" s="37" t="s">
        <v>78</v>
      </c>
      <c r="O288" s="37" t="s">
        <v>122</v>
      </c>
      <c r="P288" s="37"/>
      <c r="Q288" s="37"/>
      <c r="R288" s="37"/>
      <c r="S288" s="37"/>
      <c r="T288" s="37"/>
      <c r="U288" s="37" t="s">
        <v>128</v>
      </c>
      <c r="V288" s="37" t="s">
        <v>78</v>
      </c>
      <c r="W288" s="37" t="s">
        <v>122</v>
      </c>
      <c r="X288" s="37"/>
      <c r="Y288" s="37"/>
      <c r="Z288" s="37"/>
      <c r="AA288" s="37">
        <v>0.2</v>
      </c>
    </row>
    <row r="289" spans="1:27" x14ac:dyDescent="0.25">
      <c r="A289" s="37" t="s">
        <v>870</v>
      </c>
      <c r="B289" s="37" t="s">
        <v>205</v>
      </c>
      <c r="C289" s="37" t="s">
        <v>874</v>
      </c>
      <c r="D289" s="37" t="s">
        <v>214</v>
      </c>
      <c r="E289" s="37" t="s">
        <v>318</v>
      </c>
      <c r="F289" s="37"/>
      <c r="G289" s="37" t="s">
        <v>119</v>
      </c>
      <c r="H289" s="37" t="s">
        <v>318</v>
      </c>
      <c r="I289" s="37" t="s">
        <v>490</v>
      </c>
      <c r="J289" s="37" t="s">
        <v>121</v>
      </c>
      <c r="K289" s="37" t="s">
        <v>318</v>
      </c>
      <c r="L289" s="37" t="s">
        <v>122</v>
      </c>
      <c r="M289" s="37" t="s">
        <v>136</v>
      </c>
      <c r="N289" s="37" t="s">
        <v>73</v>
      </c>
      <c r="O289" s="37" t="s">
        <v>122</v>
      </c>
      <c r="P289" s="37"/>
      <c r="Q289" s="37"/>
      <c r="R289" s="37"/>
      <c r="S289" s="37"/>
      <c r="T289" s="37"/>
      <c r="U289" s="37" t="s">
        <v>128</v>
      </c>
      <c r="V289" s="37" t="s">
        <v>73</v>
      </c>
      <c r="W289" s="37" t="s">
        <v>122</v>
      </c>
      <c r="X289" s="37"/>
      <c r="Y289" s="37"/>
      <c r="Z289" s="37" t="s">
        <v>386</v>
      </c>
      <c r="AA289" s="37">
        <v>0.2</v>
      </c>
    </row>
    <row r="290" spans="1:27" x14ac:dyDescent="0.25">
      <c r="A290" s="37" t="s">
        <v>866</v>
      </c>
      <c r="B290" s="37" t="s">
        <v>484</v>
      </c>
      <c r="C290" s="37" t="s">
        <v>875</v>
      </c>
      <c r="D290" s="37" t="s">
        <v>123</v>
      </c>
      <c r="E290" s="37" t="s">
        <v>318</v>
      </c>
      <c r="F290" s="37"/>
      <c r="G290" s="37" t="s">
        <v>365</v>
      </c>
      <c r="H290" s="37" t="s">
        <v>318</v>
      </c>
      <c r="I290" s="37" t="s">
        <v>148</v>
      </c>
      <c r="J290" s="37" t="s">
        <v>121</v>
      </c>
      <c r="K290" s="37" t="s">
        <v>318</v>
      </c>
      <c r="L290" s="37" t="s">
        <v>122</v>
      </c>
      <c r="M290" s="37" t="s">
        <v>123</v>
      </c>
      <c r="N290" s="37" t="s">
        <v>318</v>
      </c>
      <c r="O290" s="37" t="s">
        <v>122</v>
      </c>
      <c r="P290" s="37"/>
      <c r="Q290" s="37"/>
      <c r="R290" s="37"/>
      <c r="S290" s="37"/>
      <c r="T290" s="37"/>
      <c r="U290" s="37" t="s">
        <v>128</v>
      </c>
      <c r="V290" s="37" t="s">
        <v>318</v>
      </c>
      <c r="W290" s="37" t="s">
        <v>122</v>
      </c>
      <c r="X290" s="37"/>
      <c r="Y290" s="37"/>
      <c r="Z290" s="37"/>
      <c r="AA290" s="37">
        <v>0.2</v>
      </c>
    </row>
    <row r="291" spans="1:27" x14ac:dyDescent="0.25">
      <c r="A291" s="37" t="s">
        <v>876</v>
      </c>
      <c r="B291" s="37" t="s">
        <v>205</v>
      </c>
      <c r="C291" s="37" t="s">
        <v>877</v>
      </c>
      <c r="D291" s="37" t="s">
        <v>457</v>
      </c>
      <c r="E291" s="37" t="s">
        <v>318</v>
      </c>
      <c r="F291" s="37"/>
      <c r="G291" s="37" t="s">
        <v>119</v>
      </c>
      <c r="H291" s="37" t="s">
        <v>698</v>
      </c>
      <c r="I291" s="37" t="s">
        <v>878</v>
      </c>
      <c r="J291" s="37" t="s">
        <v>135</v>
      </c>
      <c r="K291" s="37" t="s">
        <v>698</v>
      </c>
      <c r="L291" s="37" t="s">
        <v>122</v>
      </c>
      <c r="M291" s="37" t="s">
        <v>470</v>
      </c>
      <c r="N291" s="37" t="s">
        <v>698</v>
      </c>
      <c r="O291" s="37" t="s">
        <v>122</v>
      </c>
      <c r="P291" s="37"/>
      <c r="Q291" s="37"/>
      <c r="R291" s="37"/>
      <c r="S291" s="37"/>
      <c r="T291" s="37"/>
      <c r="U291" s="37" t="s">
        <v>128</v>
      </c>
      <c r="V291" s="37" t="s">
        <v>698</v>
      </c>
      <c r="W291" s="37" t="s">
        <v>122</v>
      </c>
      <c r="X291" s="37"/>
      <c r="Y291" s="37"/>
      <c r="Z291" s="37"/>
      <c r="AA291" s="37">
        <v>0.2</v>
      </c>
    </row>
    <row r="292" spans="1:27" x14ac:dyDescent="0.25">
      <c r="A292" s="37" t="s">
        <v>866</v>
      </c>
      <c r="B292" s="37" t="s">
        <v>167</v>
      </c>
      <c r="C292" s="37" t="s">
        <v>879</v>
      </c>
      <c r="D292" s="37" t="s">
        <v>214</v>
      </c>
      <c r="E292" s="37" t="s">
        <v>318</v>
      </c>
      <c r="F292" s="37"/>
      <c r="G292" s="37" t="s">
        <v>119</v>
      </c>
      <c r="H292" s="37" t="s">
        <v>318</v>
      </c>
      <c r="I292" s="37" t="s">
        <v>624</v>
      </c>
      <c r="J292" s="37" t="s">
        <v>121</v>
      </c>
      <c r="K292" s="37" t="s">
        <v>318</v>
      </c>
      <c r="L292" s="37" t="s">
        <v>122</v>
      </c>
      <c r="M292" s="37" t="s">
        <v>136</v>
      </c>
      <c r="N292" s="37" t="s">
        <v>73</v>
      </c>
      <c r="O292" s="37" t="s">
        <v>122</v>
      </c>
      <c r="P292" s="37" t="s">
        <v>630</v>
      </c>
      <c r="Q292" s="37" t="s">
        <v>174</v>
      </c>
      <c r="R292" s="37" t="s">
        <v>81</v>
      </c>
      <c r="S292" s="37" t="s">
        <v>127</v>
      </c>
      <c r="T292" s="37" t="s">
        <v>127</v>
      </c>
      <c r="U292" s="37" t="s">
        <v>128</v>
      </c>
      <c r="V292" s="37" t="s">
        <v>73</v>
      </c>
      <c r="W292" s="37" t="s">
        <v>122</v>
      </c>
      <c r="X292" s="37"/>
      <c r="Y292" s="37"/>
      <c r="Z292" s="37"/>
      <c r="AA292" s="37">
        <v>0.2</v>
      </c>
    </row>
    <row r="293" spans="1:27" x14ac:dyDescent="0.25">
      <c r="A293" s="37" t="s">
        <v>870</v>
      </c>
      <c r="B293" s="37" t="s">
        <v>167</v>
      </c>
      <c r="C293" s="37" t="s">
        <v>880</v>
      </c>
      <c r="D293" s="37" t="s">
        <v>214</v>
      </c>
      <c r="E293" s="37" t="s">
        <v>318</v>
      </c>
      <c r="F293" s="37"/>
      <c r="G293" s="37" t="s">
        <v>119</v>
      </c>
      <c r="H293" s="37" t="s">
        <v>318</v>
      </c>
      <c r="I293" s="37" t="s">
        <v>881</v>
      </c>
      <c r="J293" s="37" t="s">
        <v>121</v>
      </c>
      <c r="K293" s="37" t="s">
        <v>318</v>
      </c>
      <c r="L293" s="37" t="s">
        <v>122</v>
      </c>
      <c r="M293" s="37" t="s">
        <v>136</v>
      </c>
      <c r="N293" s="37" t="s">
        <v>73</v>
      </c>
      <c r="O293" s="37" t="s">
        <v>122</v>
      </c>
      <c r="P293" s="37" t="s">
        <v>630</v>
      </c>
      <c r="Q293" s="37" t="s">
        <v>174</v>
      </c>
      <c r="R293" s="37" t="s">
        <v>81</v>
      </c>
      <c r="S293" s="37" t="s">
        <v>127</v>
      </c>
      <c r="T293" s="37" t="s">
        <v>127</v>
      </c>
      <c r="U293" s="37" t="s">
        <v>128</v>
      </c>
      <c r="V293" s="37" t="s">
        <v>73</v>
      </c>
      <c r="W293" s="37" t="s">
        <v>122</v>
      </c>
      <c r="X293" s="37"/>
      <c r="Y293" s="37"/>
      <c r="Z293" s="37"/>
      <c r="AA293" s="37">
        <v>0.2</v>
      </c>
    </row>
    <row r="294" spans="1:27" x14ac:dyDescent="0.25">
      <c r="A294" s="37" t="s">
        <v>882</v>
      </c>
      <c r="B294" s="37" t="s">
        <v>115</v>
      </c>
      <c r="C294" s="37" t="s">
        <v>883</v>
      </c>
      <c r="D294" s="37" t="s">
        <v>117</v>
      </c>
      <c r="E294" s="37" t="s">
        <v>318</v>
      </c>
      <c r="F294" s="37"/>
      <c r="G294" s="37" t="s">
        <v>119</v>
      </c>
      <c r="H294" s="37" t="s">
        <v>73</v>
      </c>
      <c r="I294" s="37" t="s">
        <v>884</v>
      </c>
      <c r="J294" s="37" t="s">
        <v>121</v>
      </c>
      <c r="K294" s="37" t="s">
        <v>73</v>
      </c>
      <c r="L294" s="37" t="s">
        <v>122</v>
      </c>
      <c r="M294" s="37" t="s">
        <v>123</v>
      </c>
      <c r="N294" s="37" t="s">
        <v>78</v>
      </c>
      <c r="O294" s="37" t="s">
        <v>122</v>
      </c>
      <c r="P294" s="37" t="s">
        <v>547</v>
      </c>
      <c r="Q294" s="37" t="s">
        <v>125</v>
      </c>
      <c r="R294" s="37" t="s">
        <v>427</v>
      </c>
      <c r="S294" s="37" t="s">
        <v>127</v>
      </c>
      <c r="T294" s="37" t="s">
        <v>127</v>
      </c>
      <c r="U294" s="37" t="s">
        <v>128</v>
      </c>
      <c r="V294" s="37" t="s">
        <v>78</v>
      </c>
      <c r="W294" s="37" t="s">
        <v>122</v>
      </c>
      <c r="X294" s="37"/>
      <c r="Y294" s="37"/>
      <c r="Z294" s="37"/>
      <c r="AA294" s="37">
        <v>0.2</v>
      </c>
    </row>
    <row r="295" spans="1:27" x14ac:dyDescent="0.25">
      <c r="A295" s="37" t="s">
        <v>866</v>
      </c>
      <c r="B295" s="37" t="s">
        <v>362</v>
      </c>
      <c r="C295" s="37" t="s">
        <v>885</v>
      </c>
      <c r="D295" s="37" t="s">
        <v>503</v>
      </c>
      <c r="E295" s="37" t="s">
        <v>318</v>
      </c>
      <c r="F295" s="37" t="s">
        <v>886</v>
      </c>
      <c r="G295" s="37" t="s">
        <v>365</v>
      </c>
      <c r="H295" s="37" t="s">
        <v>78</v>
      </c>
      <c r="I295" s="37" t="s">
        <v>887</v>
      </c>
      <c r="J295" s="37" t="s">
        <v>149</v>
      </c>
      <c r="K295" s="37" t="s">
        <v>78</v>
      </c>
      <c r="L295" s="37" t="s">
        <v>122</v>
      </c>
      <c r="M295" s="37" t="s">
        <v>470</v>
      </c>
      <c r="N295" s="37" t="s">
        <v>698</v>
      </c>
      <c r="O295" s="37" t="s">
        <v>122</v>
      </c>
      <c r="P295" s="37" t="s">
        <v>439</v>
      </c>
      <c r="Q295" s="37" t="s">
        <v>440</v>
      </c>
      <c r="R295" s="37" t="s">
        <v>441</v>
      </c>
      <c r="S295" s="37" t="s">
        <v>127</v>
      </c>
      <c r="T295" s="37" t="s">
        <v>127</v>
      </c>
      <c r="U295" s="37" t="s">
        <v>128</v>
      </c>
      <c r="V295" s="37" t="s">
        <v>698</v>
      </c>
      <c r="W295" s="37" t="s">
        <v>122</v>
      </c>
      <c r="X295" s="37"/>
      <c r="Y295" s="37"/>
      <c r="Z295" s="37"/>
      <c r="AA295" s="37">
        <v>0.2</v>
      </c>
    </row>
    <row r="296" spans="1:27" x14ac:dyDescent="0.25">
      <c r="A296" s="37" t="s">
        <v>876</v>
      </c>
      <c r="B296" s="37" t="s">
        <v>130</v>
      </c>
      <c r="C296" s="37" t="s">
        <v>888</v>
      </c>
      <c r="D296" s="37" t="s">
        <v>146</v>
      </c>
      <c r="E296" s="37" t="s">
        <v>318</v>
      </c>
      <c r="F296" s="37" t="s">
        <v>889</v>
      </c>
      <c r="G296" s="37" t="s">
        <v>147</v>
      </c>
      <c r="H296" s="37" t="s">
        <v>73</v>
      </c>
      <c r="I296" s="37" t="s">
        <v>890</v>
      </c>
      <c r="J296" s="37" t="s">
        <v>149</v>
      </c>
      <c r="K296" s="37" t="s">
        <v>73</v>
      </c>
      <c r="L296" s="37" t="s">
        <v>122</v>
      </c>
      <c r="M296" s="37" t="s">
        <v>136</v>
      </c>
      <c r="N296" s="37" t="s">
        <v>78</v>
      </c>
      <c r="O296" s="37" t="s">
        <v>122</v>
      </c>
      <c r="P296" s="37"/>
      <c r="Q296" s="37"/>
      <c r="R296" s="37"/>
      <c r="S296" s="37"/>
      <c r="T296" s="37"/>
      <c r="U296" s="37" t="s">
        <v>128</v>
      </c>
      <c r="V296" s="37" t="s">
        <v>78</v>
      </c>
      <c r="W296" s="37" t="s">
        <v>122</v>
      </c>
      <c r="X296" s="37"/>
      <c r="Y296" s="37"/>
      <c r="Z296" s="37"/>
      <c r="AA296" s="37">
        <v>0.2</v>
      </c>
    </row>
    <row r="297" spans="1:27" x14ac:dyDescent="0.25">
      <c r="A297" s="37" t="s">
        <v>891</v>
      </c>
      <c r="B297" s="37" t="s">
        <v>130</v>
      </c>
      <c r="C297" s="37" t="s">
        <v>892</v>
      </c>
      <c r="D297" s="37" t="s">
        <v>146</v>
      </c>
      <c r="E297" s="37" t="s">
        <v>318</v>
      </c>
      <c r="F297" s="37"/>
      <c r="G297" s="37" t="s">
        <v>147</v>
      </c>
      <c r="H297" s="37" t="s">
        <v>73</v>
      </c>
      <c r="I297" s="37" t="s">
        <v>148</v>
      </c>
      <c r="J297" s="37" t="s">
        <v>149</v>
      </c>
      <c r="K297" s="37" t="s">
        <v>73</v>
      </c>
      <c r="L297" s="37" t="s">
        <v>122</v>
      </c>
      <c r="M297" s="37" t="s">
        <v>136</v>
      </c>
      <c r="N297" s="37" t="s">
        <v>78</v>
      </c>
      <c r="O297" s="37" t="s">
        <v>122</v>
      </c>
      <c r="P297" s="37"/>
      <c r="Q297" s="37"/>
      <c r="R297" s="37"/>
      <c r="S297" s="37"/>
      <c r="T297" s="37"/>
      <c r="U297" s="37" t="s">
        <v>128</v>
      </c>
      <c r="V297" s="37" t="s">
        <v>78</v>
      </c>
      <c r="W297" s="37" t="s">
        <v>122</v>
      </c>
      <c r="X297" s="37"/>
      <c r="Y297" s="37"/>
      <c r="Z297" s="37"/>
      <c r="AA297" s="37">
        <v>0.2</v>
      </c>
    </row>
    <row r="298" spans="1:27" x14ac:dyDescent="0.25">
      <c r="A298" s="37" t="s">
        <v>893</v>
      </c>
      <c r="B298" s="37" t="s">
        <v>130</v>
      </c>
      <c r="C298" s="37" t="s">
        <v>894</v>
      </c>
      <c r="D298" s="37" t="s">
        <v>146</v>
      </c>
      <c r="E298" s="37" t="s">
        <v>318</v>
      </c>
      <c r="F298" s="37"/>
      <c r="G298" s="37" t="s">
        <v>147</v>
      </c>
      <c r="H298" s="37" t="s">
        <v>73</v>
      </c>
      <c r="I298" s="37" t="s">
        <v>148</v>
      </c>
      <c r="J298" s="37" t="s">
        <v>149</v>
      </c>
      <c r="K298" s="37" t="s">
        <v>73</v>
      </c>
      <c r="L298" s="37" t="s">
        <v>122</v>
      </c>
      <c r="M298" s="37" t="s">
        <v>136</v>
      </c>
      <c r="N298" s="37" t="s">
        <v>78</v>
      </c>
      <c r="O298" s="37" t="s">
        <v>122</v>
      </c>
      <c r="P298" s="37"/>
      <c r="Q298" s="37"/>
      <c r="R298" s="37"/>
      <c r="S298" s="37"/>
      <c r="T298" s="37"/>
      <c r="U298" s="37" t="s">
        <v>128</v>
      </c>
      <c r="V298" s="37" t="s">
        <v>78</v>
      </c>
      <c r="W298" s="37" t="s">
        <v>122</v>
      </c>
      <c r="X298" s="37"/>
      <c r="Y298" s="37"/>
      <c r="Z298" s="37"/>
      <c r="AA298" s="37">
        <v>0.2</v>
      </c>
    </row>
    <row r="299" spans="1:27" x14ac:dyDescent="0.25">
      <c r="A299" s="37" t="s">
        <v>876</v>
      </c>
      <c r="B299" s="37" t="s">
        <v>362</v>
      </c>
      <c r="C299" s="37" t="s">
        <v>895</v>
      </c>
      <c r="D299" s="37" t="s">
        <v>503</v>
      </c>
      <c r="E299" s="37" t="s">
        <v>318</v>
      </c>
      <c r="F299" s="37"/>
      <c r="G299" s="37" t="s">
        <v>365</v>
      </c>
      <c r="H299" s="37" t="s">
        <v>78</v>
      </c>
      <c r="I299" s="37" t="s">
        <v>148</v>
      </c>
      <c r="J299" s="37" t="s">
        <v>149</v>
      </c>
      <c r="K299" s="37" t="s">
        <v>78</v>
      </c>
      <c r="L299" s="37" t="s">
        <v>122</v>
      </c>
      <c r="M299" s="37" t="s">
        <v>470</v>
      </c>
      <c r="N299" s="37" t="s">
        <v>698</v>
      </c>
      <c r="O299" s="37" t="s">
        <v>122</v>
      </c>
      <c r="P299" s="37" t="s">
        <v>439</v>
      </c>
      <c r="Q299" s="37" t="s">
        <v>440</v>
      </c>
      <c r="R299" s="37" t="s">
        <v>441</v>
      </c>
      <c r="S299" s="37" t="s">
        <v>127</v>
      </c>
      <c r="T299" s="37" t="s">
        <v>127</v>
      </c>
      <c r="U299" s="37" t="s">
        <v>128</v>
      </c>
      <c r="V299" s="37" t="s">
        <v>698</v>
      </c>
      <c r="W299" s="37" t="s">
        <v>122</v>
      </c>
      <c r="X299" s="37"/>
      <c r="Y299" s="37"/>
      <c r="Z299" s="37"/>
      <c r="AA299" s="37">
        <v>0.2</v>
      </c>
    </row>
    <row r="300" spans="1:27" x14ac:dyDescent="0.25">
      <c r="A300" s="37" t="s">
        <v>71</v>
      </c>
      <c r="B300" s="37" t="s">
        <v>167</v>
      </c>
      <c r="C300" s="37" t="s">
        <v>896</v>
      </c>
      <c r="D300" s="37" t="s">
        <v>169</v>
      </c>
      <c r="E300" s="37" t="s">
        <v>73</v>
      </c>
      <c r="F300" s="37"/>
      <c r="G300" s="37" t="s">
        <v>119</v>
      </c>
      <c r="H300" s="37" t="s">
        <v>78</v>
      </c>
      <c r="I300" s="37" t="s">
        <v>897</v>
      </c>
      <c r="J300" s="37" t="s">
        <v>121</v>
      </c>
      <c r="K300" s="37" t="s">
        <v>78</v>
      </c>
      <c r="L300" s="37" t="s">
        <v>122</v>
      </c>
      <c r="M300" s="37" t="s">
        <v>123</v>
      </c>
      <c r="N300" s="37" t="s">
        <v>698</v>
      </c>
      <c r="O300" s="37" t="s">
        <v>122</v>
      </c>
      <c r="P300" s="37"/>
      <c r="Q300" s="37"/>
      <c r="R300" s="37"/>
      <c r="S300" s="37"/>
      <c r="T300" s="37"/>
      <c r="U300" s="37" t="s">
        <v>128</v>
      </c>
      <c r="V300" s="37" t="s">
        <v>698</v>
      </c>
      <c r="W300" s="37" t="s">
        <v>122</v>
      </c>
      <c r="X300" s="37"/>
      <c r="Y300" s="37"/>
      <c r="Z300" s="37"/>
      <c r="AA300" s="37">
        <v>0.2</v>
      </c>
    </row>
    <row r="301" spans="1:27" x14ac:dyDescent="0.25">
      <c r="A301" s="37" t="s">
        <v>74</v>
      </c>
      <c r="B301" s="37" t="s">
        <v>167</v>
      </c>
      <c r="C301" s="37" t="s">
        <v>898</v>
      </c>
      <c r="D301" s="37" t="s">
        <v>169</v>
      </c>
      <c r="E301" s="37" t="s">
        <v>73</v>
      </c>
      <c r="F301" s="37"/>
      <c r="G301" s="37" t="s">
        <v>119</v>
      </c>
      <c r="H301" s="37" t="s">
        <v>78</v>
      </c>
      <c r="I301" s="37" t="s">
        <v>899</v>
      </c>
      <c r="J301" s="37" t="s">
        <v>121</v>
      </c>
      <c r="K301" s="37" t="s">
        <v>78</v>
      </c>
      <c r="L301" s="37" t="s">
        <v>122</v>
      </c>
      <c r="M301" s="37" t="s">
        <v>123</v>
      </c>
      <c r="N301" s="37" t="s">
        <v>81</v>
      </c>
      <c r="O301" s="37" t="s">
        <v>122</v>
      </c>
      <c r="P301" s="37" t="s">
        <v>747</v>
      </c>
      <c r="Q301" s="37" t="s">
        <v>174</v>
      </c>
      <c r="R301" s="37" t="s">
        <v>81</v>
      </c>
      <c r="S301" s="37" t="s">
        <v>127</v>
      </c>
      <c r="T301" s="37" t="s">
        <v>127</v>
      </c>
      <c r="U301" s="37" t="s">
        <v>128</v>
      </c>
      <c r="V301" s="37" t="s">
        <v>81</v>
      </c>
      <c r="W301" s="37" t="s">
        <v>122</v>
      </c>
      <c r="X301" s="37"/>
      <c r="Y301" s="37"/>
      <c r="Z301" s="37"/>
      <c r="AA301" s="37">
        <v>0.2</v>
      </c>
    </row>
    <row r="302" spans="1:27" x14ac:dyDescent="0.25">
      <c r="A302" s="37" t="s">
        <v>71</v>
      </c>
      <c r="B302" s="37" t="s">
        <v>156</v>
      </c>
      <c r="C302" s="37" t="s">
        <v>900</v>
      </c>
      <c r="D302" s="37" t="s">
        <v>149</v>
      </c>
      <c r="E302" s="37" t="s">
        <v>73</v>
      </c>
      <c r="F302" s="37"/>
      <c r="G302" s="37" t="s">
        <v>119</v>
      </c>
      <c r="H302" s="37" t="s">
        <v>78</v>
      </c>
      <c r="I302" s="37" t="s">
        <v>901</v>
      </c>
      <c r="J302" s="37" t="s">
        <v>135</v>
      </c>
      <c r="K302" s="37" t="s">
        <v>78</v>
      </c>
      <c r="L302" s="37" t="s">
        <v>122</v>
      </c>
      <c r="M302" s="37" t="s">
        <v>136</v>
      </c>
      <c r="N302" s="37" t="s">
        <v>78</v>
      </c>
      <c r="O302" s="37" t="s">
        <v>122</v>
      </c>
      <c r="P302" s="37"/>
      <c r="Q302" s="37"/>
      <c r="R302" s="37"/>
      <c r="S302" s="37"/>
      <c r="T302" s="37"/>
      <c r="U302" s="37" t="s">
        <v>128</v>
      </c>
      <c r="V302" s="37" t="s">
        <v>78</v>
      </c>
      <c r="W302" s="37" t="s">
        <v>122</v>
      </c>
      <c r="X302" s="37" t="s">
        <v>136</v>
      </c>
      <c r="Y302" s="37" t="s">
        <v>78</v>
      </c>
      <c r="Z302" s="37"/>
      <c r="AA302" s="37">
        <v>0.2</v>
      </c>
    </row>
    <row r="303" spans="1:27" x14ac:dyDescent="0.25">
      <c r="A303" s="37" t="s">
        <v>74</v>
      </c>
      <c r="B303" s="37" t="s">
        <v>156</v>
      </c>
      <c r="C303" s="37" t="s">
        <v>902</v>
      </c>
      <c r="D303" s="37" t="s">
        <v>149</v>
      </c>
      <c r="E303" s="37" t="s">
        <v>73</v>
      </c>
      <c r="F303" s="37"/>
      <c r="G303" s="37" t="s">
        <v>119</v>
      </c>
      <c r="H303" s="37" t="s">
        <v>78</v>
      </c>
      <c r="I303" s="37" t="s">
        <v>903</v>
      </c>
      <c r="J303" s="37" t="s">
        <v>135</v>
      </c>
      <c r="K303" s="37" t="s">
        <v>78</v>
      </c>
      <c r="L303" s="37" t="s">
        <v>122</v>
      </c>
      <c r="M303" s="37" t="s">
        <v>136</v>
      </c>
      <c r="N303" s="37" t="s">
        <v>78</v>
      </c>
      <c r="O303" s="37" t="s">
        <v>122</v>
      </c>
      <c r="P303" s="37"/>
      <c r="Q303" s="37"/>
      <c r="R303" s="37"/>
      <c r="S303" s="37"/>
      <c r="T303" s="37"/>
      <c r="U303" s="37" t="s">
        <v>128</v>
      </c>
      <c r="V303" s="37" t="s">
        <v>78</v>
      </c>
      <c r="W303" s="37" t="s">
        <v>122</v>
      </c>
      <c r="X303" s="37" t="s">
        <v>136</v>
      </c>
      <c r="Y303" s="37" t="s">
        <v>78</v>
      </c>
      <c r="Z303" s="37"/>
      <c r="AA303" s="37">
        <v>0.2</v>
      </c>
    </row>
    <row r="304" spans="1:27" x14ac:dyDescent="0.25">
      <c r="A304" s="37" t="s">
        <v>71</v>
      </c>
      <c r="B304" s="37" t="s">
        <v>529</v>
      </c>
      <c r="C304" s="37" t="s">
        <v>904</v>
      </c>
      <c r="D304" s="37" t="s">
        <v>457</v>
      </c>
      <c r="E304" s="37" t="s">
        <v>73</v>
      </c>
      <c r="F304" s="37"/>
      <c r="G304" s="37" t="s">
        <v>119</v>
      </c>
      <c r="H304" s="37" t="s">
        <v>698</v>
      </c>
      <c r="I304" s="37" t="s">
        <v>340</v>
      </c>
      <c r="J304" s="37" t="s">
        <v>135</v>
      </c>
      <c r="K304" s="37" t="s">
        <v>698</v>
      </c>
      <c r="L304" s="37" t="s">
        <v>122</v>
      </c>
      <c r="M304" s="37" t="s">
        <v>470</v>
      </c>
      <c r="N304" s="37" t="s">
        <v>698</v>
      </c>
      <c r="O304" s="37" t="s">
        <v>122</v>
      </c>
      <c r="P304" s="37"/>
      <c r="Q304" s="37"/>
      <c r="R304" s="37"/>
      <c r="S304" s="37"/>
      <c r="T304" s="37"/>
      <c r="U304" s="37" t="s">
        <v>128</v>
      </c>
      <c r="V304" s="37" t="s">
        <v>698</v>
      </c>
      <c r="W304" s="37" t="s">
        <v>122</v>
      </c>
      <c r="X304" s="37"/>
      <c r="Y304" s="37"/>
      <c r="Z304" s="37"/>
      <c r="AA304" s="37">
        <v>0.2</v>
      </c>
    </row>
    <row r="305" spans="1:27" x14ac:dyDescent="0.25">
      <c r="A305" s="37" t="s">
        <v>905</v>
      </c>
      <c r="B305" s="37" t="s">
        <v>167</v>
      </c>
      <c r="C305" s="37" t="s">
        <v>906</v>
      </c>
      <c r="D305" s="37" t="s">
        <v>169</v>
      </c>
      <c r="E305" s="37" t="s">
        <v>73</v>
      </c>
      <c r="F305" s="37"/>
      <c r="G305" s="37" t="s">
        <v>119</v>
      </c>
      <c r="H305" s="37" t="s">
        <v>78</v>
      </c>
      <c r="I305" s="37" t="s">
        <v>907</v>
      </c>
      <c r="J305" s="37" t="s">
        <v>121</v>
      </c>
      <c r="K305" s="37" t="s">
        <v>78</v>
      </c>
      <c r="L305" s="37" t="s">
        <v>122</v>
      </c>
      <c r="M305" s="37" t="s">
        <v>123</v>
      </c>
      <c r="N305" s="37" t="s">
        <v>81</v>
      </c>
      <c r="O305" s="37" t="s">
        <v>122</v>
      </c>
      <c r="P305" s="37" t="s">
        <v>908</v>
      </c>
      <c r="Q305" s="37" t="s">
        <v>174</v>
      </c>
      <c r="R305" s="37" t="s">
        <v>89</v>
      </c>
      <c r="S305" s="37" t="s">
        <v>127</v>
      </c>
      <c r="T305" s="37" t="s">
        <v>127</v>
      </c>
      <c r="U305" s="37" t="s">
        <v>128</v>
      </c>
      <c r="V305" s="37" t="s">
        <v>81</v>
      </c>
      <c r="W305" s="37" t="s">
        <v>122</v>
      </c>
      <c r="X305" s="37"/>
      <c r="Y305" s="37"/>
      <c r="Z305" s="37"/>
      <c r="AA305" s="37">
        <v>0.2</v>
      </c>
    </row>
    <row r="306" spans="1:27" x14ac:dyDescent="0.25">
      <c r="A306" s="37" t="s">
        <v>71</v>
      </c>
      <c r="B306" s="37" t="s">
        <v>115</v>
      </c>
      <c r="C306" s="37" t="s">
        <v>909</v>
      </c>
      <c r="D306" s="37" t="s">
        <v>149</v>
      </c>
      <c r="E306" s="37" t="s">
        <v>73</v>
      </c>
      <c r="F306" s="37"/>
      <c r="G306" s="37" t="s">
        <v>119</v>
      </c>
      <c r="H306" s="37" t="s">
        <v>78</v>
      </c>
      <c r="I306" s="37" t="s">
        <v>400</v>
      </c>
      <c r="J306" s="37" t="s">
        <v>135</v>
      </c>
      <c r="K306" s="37" t="s">
        <v>78</v>
      </c>
      <c r="L306" s="37" t="s">
        <v>122</v>
      </c>
      <c r="M306" s="37" t="s">
        <v>136</v>
      </c>
      <c r="N306" s="37" t="s">
        <v>78</v>
      </c>
      <c r="O306" s="37" t="s">
        <v>122</v>
      </c>
      <c r="P306" s="37" t="s">
        <v>910</v>
      </c>
      <c r="Q306" s="37" t="s">
        <v>125</v>
      </c>
      <c r="R306" s="37" t="s">
        <v>698</v>
      </c>
      <c r="S306" s="37" t="s">
        <v>127</v>
      </c>
      <c r="T306" s="37" t="s">
        <v>127</v>
      </c>
      <c r="U306" s="37" t="s">
        <v>128</v>
      </c>
      <c r="V306" s="37" t="s">
        <v>78</v>
      </c>
      <c r="W306" s="37" t="s">
        <v>122</v>
      </c>
      <c r="X306" s="37" t="s">
        <v>136</v>
      </c>
      <c r="Y306" s="37" t="s">
        <v>78</v>
      </c>
      <c r="Z306" s="37"/>
      <c r="AA306" s="37">
        <v>0.2</v>
      </c>
    </row>
    <row r="307" spans="1:27" x14ac:dyDescent="0.25">
      <c r="A307" s="37" t="s">
        <v>74</v>
      </c>
      <c r="B307" s="37" t="s">
        <v>115</v>
      </c>
      <c r="C307" s="37" t="s">
        <v>911</v>
      </c>
      <c r="D307" s="37" t="s">
        <v>149</v>
      </c>
      <c r="E307" s="37" t="s">
        <v>73</v>
      </c>
      <c r="F307" s="37"/>
      <c r="G307" s="37" t="s">
        <v>119</v>
      </c>
      <c r="H307" s="37" t="s">
        <v>78</v>
      </c>
      <c r="I307" s="37" t="s">
        <v>400</v>
      </c>
      <c r="J307" s="37" t="s">
        <v>135</v>
      </c>
      <c r="K307" s="37" t="s">
        <v>78</v>
      </c>
      <c r="L307" s="37" t="s">
        <v>122</v>
      </c>
      <c r="M307" s="37" t="s">
        <v>136</v>
      </c>
      <c r="N307" s="37" t="s">
        <v>78</v>
      </c>
      <c r="O307" s="37" t="s">
        <v>122</v>
      </c>
      <c r="P307" s="37" t="s">
        <v>910</v>
      </c>
      <c r="Q307" s="37" t="s">
        <v>125</v>
      </c>
      <c r="R307" s="37" t="s">
        <v>698</v>
      </c>
      <c r="S307" s="37" t="s">
        <v>127</v>
      </c>
      <c r="T307" s="37" t="s">
        <v>127</v>
      </c>
      <c r="U307" s="37" t="s">
        <v>128</v>
      </c>
      <c r="V307" s="37" t="s">
        <v>78</v>
      </c>
      <c r="W307" s="37" t="s">
        <v>122</v>
      </c>
      <c r="X307" s="37" t="s">
        <v>136</v>
      </c>
      <c r="Y307" s="37" t="s">
        <v>78</v>
      </c>
      <c r="Z307" s="37"/>
      <c r="AA307" s="37">
        <v>0.2</v>
      </c>
    </row>
    <row r="308" spans="1:27" x14ac:dyDescent="0.25">
      <c r="A308" s="37" t="s">
        <v>71</v>
      </c>
      <c r="B308" s="37" t="s">
        <v>242</v>
      </c>
      <c r="C308" s="37" t="s">
        <v>912</v>
      </c>
      <c r="D308" s="37" t="s">
        <v>149</v>
      </c>
      <c r="E308" s="37" t="s">
        <v>73</v>
      </c>
      <c r="F308" s="37"/>
      <c r="G308" s="37" t="s">
        <v>119</v>
      </c>
      <c r="H308" s="37" t="s">
        <v>78</v>
      </c>
      <c r="I308" s="37" t="s">
        <v>400</v>
      </c>
      <c r="J308" s="37" t="s">
        <v>135</v>
      </c>
      <c r="K308" s="37" t="s">
        <v>78</v>
      </c>
      <c r="L308" s="37" t="s">
        <v>122</v>
      </c>
      <c r="M308" s="37" t="s">
        <v>136</v>
      </c>
      <c r="N308" s="37" t="s">
        <v>78</v>
      </c>
      <c r="O308" s="37" t="s">
        <v>122</v>
      </c>
      <c r="P308" s="37"/>
      <c r="Q308" s="37"/>
      <c r="R308" s="37"/>
      <c r="S308" s="37"/>
      <c r="T308" s="37"/>
      <c r="U308" s="37" t="s">
        <v>128</v>
      </c>
      <c r="V308" s="37" t="s">
        <v>78</v>
      </c>
      <c r="W308" s="37" t="s">
        <v>122</v>
      </c>
      <c r="X308" s="37" t="s">
        <v>136</v>
      </c>
      <c r="Y308" s="37" t="s">
        <v>78</v>
      </c>
      <c r="Z308" s="37"/>
      <c r="AA308" s="37">
        <v>0.2</v>
      </c>
    </row>
    <row r="309" spans="1:27" x14ac:dyDescent="0.25">
      <c r="A309" s="37" t="s">
        <v>74</v>
      </c>
      <c r="B309" s="37" t="s">
        <v>242</v>
      </c>
      <c r="C309" s="37" t="s">
        <v>913</v>
      </c>
      <c r="D309" s="37" t="s">
        <v>149</v>
      </c>
      <c r="E309" s="37" t="s">
        <v>73</v>
      </c>
      <c r="F309" s="37"/>
      <c r="G309" s="37" t="s">
        <v>119</v>
      </c>
      <c r="H309" s="37" t="s">
        <v>78</v>
      </c>
      <c r="I309" s="37" t="s">
        <v>400</v>
      </c>
      <c r="J309" s="37" t="s">
        <v>135</v>
      </c>
      <c r="K309" s="37" t="s">
        <v>78</v>
      </c>
      <c r="L309" s="37" t="s">
        <v>122</v>
      </c>
      <c r="M309" s="37" t="s">
        <v>136</v>
      </c>
      <c r="N309" s="37" t="s">
        <v>78</v>
      </c>
      <c r="O309" s="37" t="s">
        <v>122</v>
      </c>
      <c r="P309" s="37"/>
      <c r="Q309" s="37"/>
      <c r="R309" s="37"/>
      <c r="S309" s="37"/>
      <c r="T309" s="37"/>
      <c r="U309" s="37" t="s">
        <v>128</v>
      </c>
      <c r="V309" s="37" t="s">
        <v>78</v>
      </c>
      <c r="W309" s="37" t="s">
        <v>122</v>
      </c>
      <c r="X309" s="37" t="s">
        <v>136</v>
      </c>
      <c r="Y309" s="37" t="s">
        <v>78</v>
      </c>
      <c r="Z309" s="37"/>
      <c r="AA309" s="37">
        <v>0.2</v>
      </c>
    </row>
    <row r="310" spans="1:27" x14ac:dyDescent="0.25">
      <c r="A310" s="37" t="s">
        <v>71</v>
      </c>
      <c r="B310" s="37" t="s">
        <v>331</v>
      </c>
      <c r="C310" s="37" t="s">
        <v>914</v>
      </c>
      <c r="D310" s="37" t="s">
        <v>169</v>
      </c>
      <c r="E310" s="37" t="s">
        <v>73</v>
      </c>
      <c r="F310" s="37"/>
      <c r="G310" s="37" t="s">
        <v>119</v>
      </c>
      <c r="H310" s="37" t="s">
        <v>78</v>
      </c>
      <c r="I310" s="37" t="s">
        <v>915</v>
      </c>
      <c r="J310" s="37" t="s">
        <v>121</v>
      </c>
      <c r="K310" s="37" t="s">
        <v>78</v>
      </c>
      <c r="L310" s="37" t="s">
        <v>122</v>
      </c>
      <c r="M310" s="37" t="s">
        <v>123</v>
      </c>
      <c r="N310" s="37" t="s">
        <v>698</v>
      </c>
      <c r="O310" s="37" t="s">
        <v>122</v>
      </c>
      <c r="P310" s="37" t="s">
        <v>916</v>
      </c>
      <c r="Q310" s="37" t="s">
        <v>917</v>
      </c>
      <c r="R310" s="37" t="s">
        <v>89</v>
      </c>
      <c r="S310" s="37" t="s">
        <v>127</v>
      </c>
      <c r="T310" s="37" t="s">
        <v>127</v>
      </c>
      <c r="U310" s="37" t="s">
        <v>128</v>
      </c>
      <c r="V310" s="37" t="s">
        <v>698</v>
      </c>
      <c r="W310" s="37" t="s">
        <v>122</v>
      </c>
      <c r="X310" s="37"/>
      <c r="Y310" s="37"/>
      <c r="Z310" s="37"/>
      <c r="AA310" s="37">
        <v>0.2</v>
      </c>
    </row>
    <row r="311" spans="1:27" x14ac:dyDescent="0.25">
      <c r="A311" s="37" t="s">
        <v>71</v>
      </c>
      <c r="B311" s="37" t="s">
        <v>176</v>
      </c>
      <c r="C311" s="37" t="s">
        <v>918</v>
      </c>
      <c r="D311" s="37" t="s">
        <v>214</v>
      </c>
      <c r="E311" s="37" t="s">
        <v>73</v>
      </c>
      <c r="F311" s="37"/>
      <c r="G311" s="37" t="s">
        <v>119</v>
      </c>
      <c r="H311" s="37" t="s">
        <v>78</v>
      </c>
      <c r="I311" s="37" t="s">
        <v>919</v>
      </c>
      <c r="J311" s="37" t="s">
        <v>121</v>
      </c>
      <c r="K311" s="37" t="s">
        <v>78</v>
      </c>
      <c r="L311" s="37" t="s">
        <v>122</v>
      </c>
      <c r="M311" s="37" t="s">
        <v>123</v>
      </c>
      <c r="N311" s="37" t="s">
        <v>427</v>
      </c>
      <c r="O311" s="37" t="s">
        <v>122</v>
      </c>
      <c r="P311" s="37"/>
      <c r="Q311" s="37"/>
      <c r="R311" s="37"/>
      <c r="S311" s="37"/>
      <c r="T311" s="37"/>
      <c r="U311" s="37" t="s">
        <v>128</v>
      </c>
      <c r="V311" s="37" t="s">
        <v>427</v>
      </c>
      <c r="W311" s="37" t="s">
        <v>122</v>
      </c>
      <c r="X311" s="37" t="s">
        <v>470</v>
      </c>
      <c r="Y311" s="37" t="s">
        <v>441</v>
      </c>
      <c r="Z311" s="37"/>
      <c r="AA311" s="37">
        <v>0.2</v>
      </c>
    </row>
    <row r="312" spans="1:27" x14ac:dyDescent="0.25">
      <c r="A312" s="37" t="s">
        <v>71</v>
      </c>
      <c r="B312" s="37" t="s">
        <v>130</v>
      </c>
      <c r="C312" s="37" t="s">
        <v>920</v>
      </c>
      <c r="D312" s="37" t="s">
        <v>146</v>
      </c>
      <c r="E312" s="37" t="s">
        <v>73</v>
      </c>
      <c r="F312" s="37" t="s">
        <v>921</v>
      </c>
      <c r="G312" s="37" t="s">
        <v>147</v>
      </c>
      <c r="H312" s="37" t="s">
        <v>73</v>
      </c>
      <c r="I312" s="37" t="s">
        <v>890</v>
      </c>
      <c r="J312" s="37" t="s">
        <v>149</v>
      </c>
      <c r="K312" s="37" t="s">
        <v>73</v>
      </c>
      <c r="L312" s="37" t="s">
        <v>122</v>
      </c>
      <c r="M312" s="37" t="s">
        <v>136</v>
      </c>
      <c r="N312" s="37" t="s">
        <v>78</v>
      </c>
      <c r="O312" s="37" t="s">
        <v>122</v>
      </c>
      <c r="P312" s="37"/>
      <c r="Q312" s="37"/>
      <c r="R312" s="37"/>
      <c r="S312" s="37"/>
      <c r="T312" s="37"/>
      <c r="U312" s="37" t="s">
        <v>128</v>
      </c>
      <c r="V312" s="37" t="s">
        <v>78</v>
      </c>
      <c r="W312" s="37" t="s">
        <v>122</v>
      </c>
      <c r="X312" s="37"/>
      <c r="Y312" s="37"/>
      <c r="Z312" s="37"/>
      <c r="AA312" s="37">
        <v>0.2</v>
      </c>
    </row>
    <row r="313" spans="1:27" x14ac:dyDescent="0.25">
      <c r="A313" s="37" t="s">
        <v>71</v>
      </c>
      <c r="B313" s="37" t="s">
        <v>838</v>
      </c>
      <c r="C313" s="37" t="s">
        <v>922</v>
      </c>
      <c r="D313" s="37" t="s">
        <v>178</v>
      </c>
      <c r="E313" s="37" t="s">
        <v>73</v>
      </c>
      <c r="F313" s="37" t="s">
        <v>923</v>
      </c>
      <c r="G313" s="37" t="s">
        <v>119</v>
      </c>
      <c r="H313" s="37" t="s">
        <v>427</v>
      </c>
      <c r="I313" s="37" t="s">
        <v>924</v>
      </c>
      <c r="J313" s="37" t="s">
        <v>121</v>
      </c>
      <c r="K313" s="37" t="s">
        <v>427</v>
      </c>
      <c r="L313" s="37" t="s">
        <v>122</v>
      </c>
      <c r="M313" s="37" t="s">
        <v>123</v>
      </c>
      <c r="N313" s="37" t="s">
        <v>427</v>
      </c>
      <c r="O313" s="37" t="s">
        <v>122</v>
      </c>
      <c r="P313" s="37"/>
      <c r="Q313" s="37"/>
      <c r="R313" s="37"/>
      <c r="S313" s="37"/>
      <c r="T313" s="37"/>
      <c r="U313" s="37" t="s">
        <v>128</v>
      </c>
      <c r="V313" s="37" t="s">
        <v>427</v>
      </c>
      <c r="W313" s="37" t="s">
        <v>122</v>
      </c>
      <c r="X313" s="37"/>
      <c r="Y313" s="37"/>
      <c r="Z313" s="37"/>
      <c r="AA313" s="37">
        <v>0.2</v>
      </c>
    </row>
    <row r="314" spans="1:27" x14ac:dyDescent="0.25">
      <c r="A314" s="37" t="s">
        <v>74</v>
      </c>
      <c r="B314" s="37" t="s">
        <v>331</v>
      </c>
      <c r="C314" s="37" t="s">
        <v>925</v>
      </c>
      <c r="D314" s="37" t="s">
        <v>169</v>
      </c>
      <c r="E314" s="37" t="s">
        <v>73</v>
      </c>
      <c r="F314" s="37"/>
      <c r="G314" s="37" t="s">
        <v>119</v>
      </c>
      <c r="H314" s="37" t="s">
        <v>78</v>
      </c>
      <c r="I314" s="37" t="s">
        <v>926</v>
      </c>
      <c r="J314" s="37" t="s">
        <v>121</v>
      </c>
      <c r="K314" s="37" t="s">
        <v>78</v>
      </c>
      <c r="L314" s="37" t="s">
        <v>122</v>
      </c>
      <c r="M314" s="37" t="s">
        <v>123</v>
      </c>
      <c r="N314" s="37" t="s">
        <v>698</v>
      </c>
      <c r="O314" s="37" t="s">
        <v>122</v>
      </c>
      <c r="P314" s="37" t="s">
        <v>927</v>
      </c>
      <c r="Q314" s="37" t="s">
        <v>917</v>
      </c>
      <c r="R314" s="37" t="s">
        <v>89</v>
      </c>
      <c r="S314" s="37" t="s">
        <v>127</v>
      </c>
      <c r="T314" s="37" t="s">
        <v>127</v>
      </c>
      <c r="U314" s="37" t="s">
        <v>128</v>
      </c>
      <c r="V314" s="37" t="s">
        <v>698</v>
      </c>
      <c r="W314" s="37" t="s">
        <v>122</v>
      </c>
      <c r="X314" s="37"/>
      <c r="Y314" s="37"/>
      <c r="Z314" s="37"/>
      <c r="AA314" s="37">
        <v>0.2</v>
      </c>
    </row>
    <row r="315" spans="1:27" x14ac:dyDescent="0.25">
      <c r="A315" s="37" t="s">
        <v>74</v>
      </c>
      <c r="B315" s="37" t="s">
        <v>176</v>
      </c>
      <c r="C315" s="37" t="s">
        <v>928</v>
      </c>
      <c r="D315" s="37" t="s">
        <v>214</v>
      </c>
      <c r="E315" s="37" t="s">
        <v>73</v>
      </c>
      <c r="F315" s="37"/>
      <c r="G315" s="37" t="s">
        <v>119</v>
      </c>
      <c r="H315" s="37" t="s">
        <v>78</v>
      </c>
      <c r="I315" s="37" t="s">
        <v>929</v>
      </c>
      <c r="J315" s="37" t="s">
        <v>121</v>
      </c>
      <c r="K315" s="37" t="s">
        <v>78</v>
      </c>
      <c r="L315" s="37" t="s">
        <v>122</v>
      </c>
      <c r="M315" s="37" t="s">
        <v>123</v>
      </c>
      <c r="N315" s="37" t="s">
        <v>427</v>
      </c>
      <c r="O315" s="37" t="s">
        <v>122</v>
      </c>
      <c r="P315" s="37"/>
      <c r="Q315" s="37"/>
      <c r="R315" s="37"/>
      <c r="S315" s="37"/>
      <c r="T315" s="37"/>
      <c r="U315" s="37" t="s">
        <v>128</v>
      </c>
      <c r="V315" s="37" t="s">
        <v>427</v>
      </c>
      <c r="W315" s="37" t="s">
        <v>122</v>
      </c>
      <c r="X315" s="37" t="s">
        <v>470</v>
      </c>
      <c r="Y315" s="37" t="s">
        <v>441</v>
      </c>
      <c r="Z315" s="37"/>
      <c r="AA315" s="37">
        <v>0.2</v>
      </c>
    </row>
    <row r="316" spans="1:27" x14ac:dyDescent="0.25">
      <c r="A316" s="37" t="s">
        <v>74</v>
      </c>
      <c r="B316" s="37" t="s">
        <v>362</v>
      </c>
      <c r="C316" s="37" t="s">
        <v>930</v>
      </c>
      <c r="D316" s="37" t="s">
        <v>503</v>
      </c>
      <c r="E316" s="37" t="s">
        <v>73</v>
      </c>
      <c r="F316" s="37"/>
      <c r="G316" s="37" t="s">
        <v>365</v>
      </c>
      <c r="H316" s="37" t="s">
        <v>78</v>
      </c>
      <c r="I316" s="37" t="s">
        <v>148</v>
      </c>
      <c r="J316" s="37" t="s">
        <v>149</v>
      </c>
      <c r="K316" s="37" t="s">
        <v>78</v>
      </c>
      <c r="L316" s="37" t="s">
        <v>122</v>
      </c>
      <c r="M316" s="37" t="s">
        <v>470</v>
      </c>
      <c r="N316" s="37" t="s">
        <v>698</v>
      </c>
      <c r="O316" s="37" t="s">
        <v>122</v>
      </c>
      <c r="P316" s="37" t="s">
        <v>439</v>
      </c>
      <c r="Q316" s="37" t="s">
        <v>440</v>
      </c>
      <c r="R316" s="37" t="s">
        <v>441</v>
      </c>
      <c r="S316" s="37" t="s">
        <v>127</v>
      </c>
      <c r="T316" s="37" t="s">
        <v>127</v>
      </c>
      <c r="U316" s="37" t="s">
        <v>128</v>
      </c>
      <c r="V316" s="37" t="s">
        <v>698</v>
      </c>
      <c r="W316" s="37" t="s">
        <v>122</v>
      </c>
      <c r="X316" s="37"/>
      <c r="Y316" s="37"/>
      <c r="Z316" s="37"/>
      <c r="AA316" s="37">
        <v>0.2</v>
      </c>
    </row>
    <row r="317" spans="1:27" x14ac:dyDescent="0.25">
      <c r="A317" s="37" t="s">
        <v>71</v>
      </c>
      <c r="B317" s="37" t="s">
        <v>931</v>
      </c>
      <c r="C317" s="37" t="s">
        <v>932</v>
      </c>
      <c r="D317" s="37" t="s">
        <v>117</v>
      </c>
      <c r="E317" s="37" t="s">
        <v>73</v>
      </c>
      <c r="F317" s="37"/>
      <c r="G317" s="37" t="s">
        <v>119</v>
      </c>
      <c r="H317" s="37" t="s">
        <v>427</v>
      </c>
      <c r="I317" s="37" t="s">
        <v>933</v>
      </c>
      <c r="J317" s="37" t="s">
        <v>121</v>
      </c>
      <c r="K317" s="37" t="s">
        <v>427</v>
      </c>
      <c r="L317" s="37" t="s">
        <v>122</v>
      </c>
      <c r="M317" s="37" t="s">
        <v>123</v>
      </c>
      <c r="N317" s="37" t="s">
        <v>698</v>
      </c>
      <c r="O317" s="37" t="s">
        <v>122</v>
      </c>
      <c r="P317" s="37"/>
      <c r="Q317" s="37"/>
      <c r="R317" s="37"/>
      <c r="S317" s="37"/>
      <c r="T317" s="37"/>
      <c r="U317" s="37" t="s">
        <v>128</v>
      </c>
      <c r="V317" s="37" t="s">
        <v>698</v>
      </c>
      <c r="W317" s="37" t="s">
        <v>122</v>
      </c>
      <c r="X317" s="37"/>
      <c r="Y317" s="37"/>
      <c r="Z317" s="37"/>
      <c r="AA317" s="37">
        <v>0.2</v>
      </c>
    </row>
    <row r="318" spans="1:27" x14ac:dyDescent="0.25">
      <c r="A318" s="37" t="s">
        <v>905</v>
      </c>
      <c r="B318" s="37" t="s">
        <v>242</v>
      </c>
      <c r="C318" s="37" t="s">
        <v>934</v>
      </c>
      <c r="D318" s="37" t="s">
        <v>457</v>
      </c>
      <c r="E318" s="37" t="s">
        <v>73</v>
      </c>
      <c r="F318" s="37"/>
      <c r="G318" s="37" t="s">
        <v>119</v>
      </c>
      <c r="H318" s="37" t="s">
        <v>698</v>
      </c>
      <c r="I318" s="37" t="s">
        <v>935</v>
      </c>
      <c r="J318" s="37" t="s">
        <v>135</v>
      </c>
      <c r="K318" s="37" t="s">
        <v>698</v>
      </c>
      <c r="L318" s="37" t="s">
        <v>122</v>
      </c>
      <c r="M318" s="37" t="s">
        <v>470</v>
      </c>
      <c r="N318" s="37" t="s">
        <v>698</v>
      </c>
      <c r="O318" s="37" t="s">
        <v>122</v>
      </c>
      <c r="P318" s="37"/>
      <c r="Q318" s="37"/>
      <c r="R318" s="37"/>
      <c r="S318" s="37"/>
      <c r="T318" s="37"/>
      <c r="U318" s="37" t="s">
        <v>128</v>
      </c>
      <c r="V318" s="37" t="s">
        <v>698</v>
      </c>
      <c r="W318" s="37" t="s">
        <v>122</v>
      </c>
      <c r="X318" s="37" t="s">
        <v>470</v>
      </c>
      <c r="Y318" s="37" t="s">
        <v>767</v>
      </c>
      <c r="Z318" s="37"/>
      <c r="AA318" s="37">
        <v>0.2</v>
      </c>
    </row>
    <row r="319" spans="1:27" x14ac:dyDescent="0.25">
      <c r="A319" s="37" t="s">
        <v>936</v>
      </c>
      <c r="B319" s="37" t="s">
        <v>115</v>
      </c>
      <c r="C319" s="37" t="s">
        <v>937</v>
      </c>
      <c r="D319" s="37" t="s">
        <v>117</v>
      </c>
      <c r="E319" s="37" t="s">
        <v>73</v>
      </c>
      <c r="F319" s="37"/>
      <c r="G319" s="37" t="s">
        <v>119</v>
      </c>
      <c r="H319" s="37" t="s">
        <v>73</v>
      </c>
      <c r="I319" s="37" t="s">
        <v>938</v>
      </c>
      <c r="J319" s="37" t="s">
        <v>121</v>
      </c>
      <c r="K319" s="37" t="s">
        <v>73</v>
      </c>
      <c r="L319" s="37" t="s">
        <v>122</v>
      </c>
      <c r="M319" s="37" t="s">
        <v>123</v>
      </c>
      <c r="N319" s="37" t="s">
        <v>78</v>
      </c>
      <c r="O319" s="37" t="s">
        <v>122</v>
      </c>
      <c r="P319" s="37"/>
      <c r="Q319" s="37"/>
      <c r="R319" s="37"/>
      <c r="S319" s="37"/>
      <c r="T319" s="37"/>
      <c r="U319" s="37" t="s">
        <v>128</v>
      </c>
      <c r="V319" s="37" t="s">
        <v>78</v>
      </c>
      <c r="W319" s="37" t="s">
        <v>122</v>
      </c>
      <c r="X319" s="37"/>
      <c r="Y319" s="37"/>
      <c r="Z319" s="37"/>
      <c r="AA319" s="37">
        <v>0.2</v>
      </c>
    </row>
    <row r="320" spans="1:27" x14ac:dyDescent="0.25">
      <c r="A320" s="37" t="s">
        <v>939</v>
      </c>
      <c r="B320" s="37" t="s">
        <v>115</v>
      </c>
      <c r="C320" s="37" t="s">
        <v>940</v>
      </c>
      <c r="D320" s="37" t="s">
        <v>121</v>
      </c>
      <c r="E320" s="37" t="s">
        <v>73</v>
      </c>
      <c r="F320" s="37"/>
      <c r="G320" s="37" t="s">
        <v>350</v>
      </c>
      <c r="H320" s="37" t="s">
        <v>73</v>
      </c>
      <c r="I320" s="37" t="s">
        <v>941</v>
      </c>
      <c r="J320" s="37" t="s">
        <v>149</v>
      </c>
      <c r="K320" s="37" t="s">
        <v>73</v>
      </c>
      <c r="L320" s="37" t="s">
        <v>122</v>
      </c>
      <c r="M320" s="37" t="s">
        <v>123</v>
      </c>
      <c r="N320" s="37" t="s">
        <v>78</v>
      </c>
      <c r="O320" s="37" t="s">
        <v>122</v>
      </c>
      <c r="P320" s="37" t="s">
        <v>547</v>
      </c>
      <c r="Q320" s="37" t="s">
        <v>353</v>
      </c>
      <c r="R320" s="37" t="s">
        <v>427</v>
      </c>
      <c r="S320" s="37" t="s">
        <v>127</v>
      </c>
      <c r="T320" s="37" t="s">
        <v>127</v>
      </c>
      <c r="U320" s="37" t="s">
        <v>128</v>
      </c>
      <c r="V320" s="37" t="s">
        <v>78</v>
      </c>
      <c r="W320" s="37" t="s">
        <v>122</v>
      </c>
      <c r="X320" s="37" t="s">
        <v>123</v>
      </c>
      <c r="Y320" s="37" t="s">
        <v>427</v>
      </c>
      <c r="Z320" s="37"/>
      <c r="AA320" s="37">
        <v>0.2</v>
      </c>
    </row>
    <row r="321" spans="1:27" x14ac:dyDescent="0.25">
      <c r="A321" s="37" t="s">
        <v>942</v>
      </c>
      <c r="B321" s="37" t="s">
        <v>167</v>
      </c>
      <c r="C321" s="37" t="s">
        <v>943</v>
      </c>
      <c r="D321" s="37" t="s">
        <v>169</v>
      </c>
      <c r="E321" s="37" t="s">
        <v>73</v>
      </c>
      <c r="F321" s="37"/>
      <c r="G321" s="37" t="s">
        <v>119</v>
      </c>
      <c r="H321" s="37" t="s">
        <v>78</v>
      </c>
      <c r="I321" s="37" t="s">
        <v>204</v>
      </c>
      <c r="J321" s="37" t="s">
        <v>121</v>
      </c>
      <c r="K321" s="37" t="s">
        <v>78</v>
      </c>
      <c r="L321" s="37" t="s">
        <v>122</v>
      </c>
      <c r="M321" s="37" t="s">
        <v>123</v>
      </c>
      <c r="N321" s="37" t="s">
        <v>698</v>
      </c>
      <c r="O321" s="37" t="s">
        <v>122</v>
      </c>
      <c r="P321" s="37" t="s">
        <v>908</v>
      </c>
      <c r="Q321" s="37" t="s">
        <v>174</v>
      </c>
      <c r="R321" s="37" t="s">
        <v>89</v>
      </c>
      <c r="S321" s="37" t="s">
        <v>127</v>
      </c>
      <c r="T321" s="37" t="s">
        <v>127</v>
      </c>
      <c r="U321" s="37" t="s">
        <v>128</v>
      </c>
      <c r="V321" s="37" t="s">
        <v>698</v>
      </c>
      <c r="W321" s="37" t="s">
        <v>122</v>
      </c>
      <c r="X321" s="37"/>
      <c r="Y321" s="37"/>
      <c r="Z321" s="37"/>
      <c r="AA321" s="37">
        <v>0.2</v>
      </c>
    </row>
    <row r="322" spans="1:27" x14ac:dyDescent="0.25">
      <c r="A322" s="37" t="s">
        <v>944</v>
      </c>
      <c r="B322" s="37" t="s">
        <v>115</v>
      </c>
      <c r="C322" s="37" t="s">
        <v>945</v>
      </c>
      <c r="D322" s="37" t="s">
        <v>121</v>
      </c>
      <c r="E322" s="37" t="s">
        <v>73</v>
      </c>
      <c r="F322" s="37"/>
      <c r="G322" s="37" t="s">
        <v>350</v>
      </c>
      <c r="H322" s="37" t="s">
        <v>73</v>
      </c>
      <c r="I322" s="37" t="s">
        <v>946</v>
      </c>
      <c r="J322" s="37" t="s">
        <v>149</v>
      </c>
      <c r="K322" s="37" t="s">
        <v>73</v>
      </c>
      <c r="L322" s="37" t="s">
        <v>122</v>
      </c>
      <c r="M322" s="37" t="s">
        <v>123</v>
      </c>
      <c r="N322" s="37" t="s">
        <v>78</v>
      </c>
      <c r="O322" s="37" t="s">
        <v>122</v>
      </c>
      <c r="P322" s="37" t="s">
        <v>547</v>
      </c>
      <c r="Q322" s="37" t="s">
        <v>353</v>
      </c>
      <c r="R322" s="37" t="s">
        <v>427</v>
      </c>
      <c r="S322" s="37" t="s">
        <v>127</v>
      </c>
      <c r="T322" s="37" t="s">
        <v>127</v>
      </c>
      <c r="U322" s="37" t="s">
        <v>128</v>
      </c>
      <c r="V322" s="37" t="s">
        <v>78</v>
      </c>
      <c r="W322" s="37" t="s">
        <v>122</v>
      </c>
      <c r="X322" s="37" t="s">
        <v>123</v>
      </c>
      <c r="Y322" s="37" t="s">
        <v>427</v>
      </c>
      <c r="Z322" s="37"/>
      <c r="AA322" s="37">
        <v>0.2</v>
      </c>
    </row>
    <row r="323" spans="1:27" x14ac:dyDescent="0.25">
      <c r="A323" s="37" t="s">
        <v>74</v>
      </c>
      <c r="B323" s="37" t="s">
        <v>259</v>
      </c>
      <c r="C323" s="37" t="s">
        <v>947</v>
      </c>
      <c r="D323" s="37" t="s">
        <v>121</v>
      </c>
      <c r="E323" s="37" t="s">
        <v>73</v>
      </c>
      <c r="F323" s="37"/>
      <c r="G323" s="37" t="s">
        <v>350</v>
      </c>
      <c r="H323" s="37" t="s">
        <v>73</v>
      </c>
      <c r="I323" s="37" t="s">
        <v>948</v>
      </c>
      <c r="J323" s="37" t="s">
        <v>149</v>
      </c>
      <c r="K323" s="37" t="s">
        <v>73</v>
      </c>
      <c r="L323" s="37" t="s">
        <v>122</v>
      </c>
      <c r="M323" s="37" t="s">
        <v>123</v>
      </c>
      <c r="N323" s="37" t="s">
        <v>78</v>
      </c>
      <c r="O323" s="37" t="s">
        <v>122</v>
      </c>
      <c r="P323" s="37" t="s">
        <v>547</v>
      </c>
      <c r="Q323" s="37" t="s">
        <v>353</v>
      </c>
      <c r="R323" s="37" t="s">
        <v>427</v>
      </c>
      <c r="S323" s="37" t="s">
        <v>127</v>
      </c>
      <c r="T323" s="37" t="s">
        <v>127</v>
      </c>
      <c r="U323" s="37" t="s">
        <v>128</v>
      </c>
      <c r="V323" s="37" t="s">
        <v>78</v>
      </c>
      <c r="W323" s="37" t="s">
        <v>122</v>
      </c>
      <c r="X323" s="37" t="s">
        <v>123</v>
      </c>
      <c r="Y323" s="37" t="s">
        <v>78</v>
      </c>
      <c r="Z323" s="37"/>
      <c r="AA323" s="37">
        <v>0.2</v>
      </c>
    </row>
    <row r="324" spans="1:27" x14ac:dyDescent="0.25">
      <c r="A324" s="37" t="s">
        <v>74</v>
      </c>
      <c r="B324" s="37" t="s">
        <v>529</v>
      </c>
      <c r="C324" s="37" t="s">
        <v>949</v>
      </c>
      <c r="D324" s="37" t="s">
        <v>457</v>
      </c>
      <c r="E324" s="37" t="s">
        <v>73</v>
      </c>
      <c r="F324" s="37"/>
      <c r="G324" s="37" t="s">
        <v>119</v>
      </c>
      <c r="H324" s="37" t="s">
        <v>698</v>
      </c>
      <c r="I324" s="37" t="s">
        <v>624</v>
      </c>
      <c r="J324" s="37" t="s">
        <v>135</v>
      </c>
      <c r="K324" s="37" t="s">
        <v>698</v>
      </c>
      <c r="L324" s="37" t="s">
        <v>122</v>
      </c>
      <c r="M324" s="37" t="s">
        <v>470</v>
      </c>
      <c r="N324" s="37" t="s">
        <v>698</v>
      </c>
      <c r="O324" s="37" t="s">
        <v>122</v>
      </c>
      <c r="P324" s="37"/>
      <c r="Q324" s="37"/>
      <c r="R324" s="37"/>
      <c r="S324" s="37"/>
      <c r="T324" s="37"/>
      <c r="U324" s="37" t="s">
        <v>128</v>
      </c>
      <c r="V324" s="37" t="s">
        <v>698</v>
      </c>
      <c r="W324" s="37" t="s">
        <v>122</v>
      </c>
      <c r="X324" s="37"/>
      <c r="Y324" s="37"/>
      <c r="Z324" s="37"/>
      <c r="AA324" s="37">
        <v>0.2</v>
      </c>
    </row>
    <row r="325" spans="1:27" x14ac:dyDescent="0.25">
      <c r="A325" s="37" t="s">
        <v>939</v>
      </c>
      <c r="B325" s="37" t="s">
        <v>167</v>
      </c>
      <c r="C325" s="37" t="s">
        <v>950</v>
      </c>
      <c r="D325" s="37" t="s">
        <v>214</v>
      </c>
      <c r="E325" s="37" t="s">
        <v>73</v>
      </c>
      <c r="F325" s="37"/>
      <c r="G325" s="37" t="s">
        <v>119</v>
      </c>
      <c r="H325" s="37" t="s">
        <v>78</v>
      </c>
      <c r="I325" s="37" t="s">
        <v>929</v>
      </c>
      <c r="J325" s="37" t="s">
        <v>121</v>
      </c>
      <c r="K325" s="37" t="s">
        <v>78</v>
      </c>
      <c r="L325" s="37" t="s">
        <v>122</v>
      </c>
      <c r="M325" s="37" t="s">
        <v>123</v>
      </c>
      <c r="N325" s="37" t="s">
        <v>427</v>
      </c>
      <c r="O325" s="37" t="s">
        <v>122</v>
      </c>
      <c r="P325" s="37" t="s">
        <v>630</v>
      </c>
      <c r="Q325" s="37" t="s">
        <v>174</v>
      </c>
      <c r="R325" s="37" t="s">
        <v>81</v>
      </c>
      <c r="S325" s="37" t="s">
        <v>127</v>
      </c>
      <c r="T325" s="37" t="s">
        <v>127</v>
      </c>
      <c r="U325" s="37" t="s">
        <v>128</v>
      </c>
      <c r="V325" s="37" t="s">
        <v>427</v>
      </c>
      <c r="W325" s="37" t="s">
        <v>122</v>
      </c>
      <c r="X325" s="37"/>
      <c r="Y325" s="37"/>
      <c r="Z325" s="37"/>
      <c r="AA325" s="37">
        <v>0.2</v>
      </c>
    </row>
    <row r="326" spans="1:27" x14ac:dyDescent="0.25">
      <c r="A326" s="37" t="s">
        <v>951</v>
      </c>
      <c r="B326" s="37" t="s">
        <v>167</v>
      </c>
      <c r="C326" s="37" t="s">
        <v>952</v>
      </c>
      <c r="D326" s="37" t="s">
        <v>214</v>
      </c>
      <c r="E326" s="37" t="s">
        <v>73</v>
      </c>
      <c r="F326" s="37"/>
      <c r="G326" s="37" t="s">
        <v>119</v>
      </c>
      <c r="H326" s="37" t="s">
        <v>78</v>
      </c>
      <c r="I326" s="37" t="s">
        <v>490</v>
      </c>
      <c r="J326" s="37" t="s">
        <v>121</v>
      </c>
      <c r="K326" s="37" t="s">
        <v>78</v>
      </c>
      <c r="L326" s="37" t="s">
        <v>122</v>
      </c>
      <c r="M326" s="37" t="s">
        <v>123</v>
      </c>
      <c r="N326" s="37" t="s">
        <v>427</v>
      </c>
      <c r="O326" s="37" t="s">
        <v>122</v>
      </c>
      <c r="P326" s="37" t="s">
        <v>630</v>
      </c>
      <c r="Q326" s="37" t="s">
        <v>174</v>
      </c>
      <c r="R326" s="37" t="s">
        <v>89</v>
      </c>
      <c r="S326" s="37" t="s">
        <v>127</v>
      </c>
      <c r="T326" s="37" t="s">
        <v>127</v>
      </c>
      <c r="U326" s="37" t="s">
        <v>128</v>
      </c>
      <c r="V326" s="37" t="s">
        <v>427</v>
      </c>
      <c r="W326" s="37" t="s">
        <v>122</v>
      </c>
      <c r="X326" s="37"/>
      <c r="Y326" s="37"/>
      <c r="Z326" s="37"/>
      <c r="AA326" s="37">
        <v>0.2</v>
      </c>
    </row>
    <row r="327" spans="1:27" x14ac:dyDescent="0.25">
      <c r="A327" s="37" t="s">
        <v>953</v>
      </c>
      <c r="B327" s="37" t="s">
        <v>167</v>
      </c>
      <c r="C327" s="37" t="s">
        <v>954</v>
      </c>
      <c r="D327" s="37" t="s">
        <v>169</v>
      </c>
      <c r="E327" s="37" t="s">
        <v>78</v>
      </c>
      <c r="F327" s="37"/>
      <c r="G327" s="37" t="s">
        <v>119</v>
      </c>
      <c r="H327" s="37" t="s">
        <v>78</v>
      </c>
      <c r="I327" s="37" t="s">
        <v>955</v>
      </c>
      <c r="J327" s="37" t="s">
        <v>121</v>
      </c>
      <c r="K327" s="37" t="s">
        <v>78</v>
      </c>
      <c r="L327" s="37" t="s">
        <v>122</v>
      </c>
      <c r="M327" s="37" t="s">
        <v>123</v>
      </c>
      <c r="N327" s="37" t="s">
        <v>698</v>
      </c>
      <c r="O327" s="37" t="s">
        <v>122</v>
      </c>
      <c r="P327" s="37" t="s">
        <v>908</v>
      </c>
      <c r="Q327" s="37" t="s">
        <v>174</v>
      </c>
      <c r="R327" s="37" t="s">
        <v>89</v>
      </c>
      <c r="S327" s="37" t="s">
        <v>127</v>
      </c>
      <c r="T327" s="37" t="s">
        <v>127</v>
      </c>
      <c r="U327" s="37" t="s">
        <v>128</v>
      </c>
      <c r="V327" s="37" t="s">
        <v>698</v>
      </c>
      <c r="W327" s="37" t="s">
        <v>122</v>
      </c>
      <c r="X327" s="37"/>
      <c r="Y327" s="37"/>
      <c r="Z327" s="37"/>
      <c r="AA327" s="37">
        <v>0.2</v>
      </c>
    </row>
    <row r="328" spans="1:27" x14ac:dyDescent="0.25">
      <c r="A328" s="37" t="s">
        <v>953</v>
      </c>
      <c r="B328" s="37" t="s">
        <v>251</v>
      </c>
      <c r="C328" s="37" t="s">
        <v>956</v>
      </c>
      <c r="D328" s="37" t="s">
        <v>117</v>
      </c>
      <c r="E328" s="37" t="s">
        <v>78</v>
      </c>
      <c r="F328" s="37"/>
      <c r="G328" s="37" t="s">
        <v>119</v>
      </c>
      <c r="H328" s="37" t="s">
        <v>427</v>
      </c>
      <c r="I328" s="37" t="s">
        <v>957</v>
      </c>
      <c r="J328" s="37" t="s">
        <v>121</v>
      </c>
      <c r="K328" s="37" t="s">
        <v>427</v>
      </c>
      <c r="L328" s="37" t="s">
        <v>122</v>
      </c>
      <c r="M328" s="37" t="s">
        <v>123</v>
      </c>
      <c r="N328" s="37" t="s">
        <v>698</v>
      </c>
      <c r="O328" s="37" t="s">
        <v>122</v>
      </c>
      <c r="P328" s="37"/>
      <c r="Q328" s="37"/>
      <c r="R328" s="37"/>
      <c r="S328" s="37"/>
      <c r="T328" s="37"/>
      <c r="U328" s="37" t="s">
        <v>128</v>
      </c>
      <c r="V328" s="37" t="s">
        <v>698</v>
      </c>
      <c r="W328" s="37" t="s">
        <v>122</v>
      </c>
      <c r="X328" s="37"/>
      <c r="Y328" s="37"/>
      <c r="Z328" s="37"/>
      <c r="AA328" s="37">
        <v>0.2</v>
      </c>
    </row>
    <row r="329" spans="1:27" x14ac:dyDescent="0.25">
      <c r="A329" s="37" t="s">
        <v>76</v>
      </c>
      <c r="B329" s="37" t="s">
        <v>130</v>
      </c>
      <c r="C329" s="37" t="s">
        <v>958</v>
      </c>
      <c r="D329" s="37" t="s">
        <v>132</v>
      </c>
      <c r="E329" s="37" t="s">
        <v>78</v>
      </c>
      <c r="F329" s="37"/>
      <c r="G329" s="37" t="s">
        <v>119</v>
      </c>
      <c r="H329" s="37" t="s">
        <v>698</v>
      </c>
      <c r="I329" s="37" t="s">
        <v>959</v>
      </c>
      <c r="J329" s="37" t="s">
        <v>121</v>
      </c>
      <c r="K329" s="37" t="s">
        <v>84</v>
      </c>
      <c r="L329" s="37" t="s">
        <v>122</v>
      </c>
      <c r="M329" s="37" t="s">
        <v>136</v>
      </c>
      <c r="N329" s="37" t="s">
        <v>89</v>
      </c>
      <c r="O329" s="37" t="s">
        <v>122</v>
      </c>
      <c r="P329" s="37"/>
      <c r="Q329" s="37"/>
      <c r="R329" s="37"/>
      <c r="S329" s="37"/>
      <c r="T329" s="37"/>
      <c r="U329" s="37" t="s">
        <v>128</v>
      </c>
      <c r="V329" s="37" t="s">
        <v>89</v>
      </c>
      <c r="W329" s="37" t="s">
        <v>122</v>
      </c>
      <c r="X329" s="37" t="s">
        <v>136</v>
      </c>
      <c r="Y329" s="37"/>
      <c r="Z329" s="37"/>
      <c r="AA329" s="37">
        <v>0.2</v>
      </c>
    </row>
    <row r="330" spans="1:27" x14ac:dyDescent="0.25">
      <c r="A330" s="37" t="s">
        <v>76</v>
      </c>
      <c r="B330" s="37" t="s">
        <v>156</v>
      </c>
      <c r="C330" s="37" t="s">
        <v>960</v>
      </c>
      <c r="D330" s="37" t="s">
        <v>135</v>
      </c>
      <c r="E330" s="37" t="s">
        <v>78</v>
      </c>
      <c r="F330" s="37"/>
      <c r="G330" s="37" t="s">
        <v>119</v>
      </c>
      <c r="H330" s="37" t="s">
        <v>81</v>
      </c>
      <c r="I330" s="37" t="s">
        <v>961</v>
      </c>
      <c r="J330" s="37" t="s">
        <v>149</v>
      </c>
      <c r="K330" s="37" t="s">
        <v>81</v>
      </c>
      <c r="L330" s="37" t="s">
        <v>122</v>
      </c>
      <c r="M330" s="37" t="s">
        <v>470</v>
      </c>
      <c r="N330" s="37" t="s">
        <v>698</v>
      </c>
      <c r="O330" s="37" t="s">
        <v>122</v>
      </c>
      <c r="P330" s="37"/>
      <c r="Q330" s="37"/>
      <c r="R330" s="37"/>
      <c r="S330" s="37"/>
      <c r="T330" s="37"/>
      <c r="U330" s="37" t="s">
        <v>128</v>
      </c>
      <c r="V330" s="37" t="s">
        <v>698</v>
      </c>
      <c r="W330" s="37" t="s">
        <v>122</v>
      </c>
      <c r="X330" s="37"/>
      <c r="Y330" s="37"/>
      <c r="Z330" s="37"/>
      <c r="AA330" s="37">
        <v>0.2</v>
      </c>
    </row>
    <row r="331" spans="1:27" x14ac:dyDescent="0.25">
      <c r="A331" s="37" t="s">
        <v>962</v>
      </c>
      <c r="B331" s="37" t="s">
        <v>130</v>
      </c>
      <c r="C331" s="37" t="s">
        <v>963</v>
      </c>
      <c r="D331" s="37" t="s">
        <v>132</v>
      </c>
      <c r="E331" s="37" t="s">
        <v>78</v>
      </c>
      <c r="F331" s="37"/>
      <c r="G331" s="37" t="s">
        <v>119</v>
      </c>
      <c r="H331" s="37" t="s">
        <v>698</v>
      </c>
      <c r="I331" s="37" t="s">
        <v>964</v>
      </c>
      <c r="J331" s="37" t="s">
        <v>121</v>
      </c>
      <c r="K331" s="37" t="s">
        <v>84</v>
      </c>
      <c r="L331" s="37" t="s">
        <v>122</v>
      </c>
      <c r="M331" s="37" t="s">
        <v>136</v>
      </c>
      <c r="N331" s="37" t="s">
        <v>89</v>
      </c>
      <c r="O331" s="37" t="s">
        <v>122</v>
      </c>
      <c r="P331" s="37"/>
      <c r="Q331" s="37"/>
      <c r="R331" s="37"/>
      <c r="S331" s="37"/>
      <c r="T331" s="37"/>
      <c r="U331" s="37" t="s">
        <v>128</v>
      </c>
      <c r="V331" s="37" t="s">
        <v>89</v>
      </c>
      <c r="W331" s="37" t="s">
        <v>122</v>
      </c>
      <c r="X331" s="37" t="s">
        <v>136</v>
      </c>
      <c r="Y331" s="37"/>
      <c r="Z331" s="37"/>
      <c r="AA331" s="37">
        <v>0.2</v>
      </c>
    </row>
    <row r="332" spans="1:27" x14ac:dyDescent="0.25">
      <c r="A332" s="37" t="s">
        <v>76</v>
      </c>
      <c r="B332" s="37" t="s">
        <v>167</v>
      </c>
      <c r="C332" s="37" t="s">
        <v>965</v>
      </c>
      <c r="D332" s="37" t="s">
        <v>169</v>
      </c>
      <c r="E332" s="37" t="s">
        <v>78</v>
      </c>
      <c r="F332" s="37"/>
      <c r="G332" s="37" t="s">
        <v>119</v>
      </c>
      <c r="H332" s="37" t="s">
        <v>78</v>
      </c>
      <c r="I332" s="37" t="s">
        <v>966</v>
      </c>
      <c r="J332" s="37" t="s">
        <v>121</v>
      </c>
      <c r="K332" s="37" t="s">
        <v>78</v>
      </c>
      <c r="L332" s="37" t="s">
        <v>122</v>
      </c>
      <c r="M332" s="37" t="s">
        <v>123</v>
      </c>
      <c r="N332" s="37" t="s">
        <v>698</v>
      </c>
      <c r="O332" s="37" t="s">
        <v>122</v>
      </c>
      <c r="P332" s="37" t="s">
        <v>908</v>
      </c>
      <c r="Q332" s="37" t="s">
        <v>174</v>
      </c>
      <c r="R332" s="37" t="s">
        <v>89</v>
      </c>
      <c r="S332" s="37" t="s">
        <v>127</v>
      </c>
      <c r="T332" s="37" t="s">
        <v>175</v>
      </c>
      <c r="U332" s="37" t="s">
        <v>128</v>
      </c>
      <c r="V332" s="37" t="s">
        <v>698</v>
      </c>
      <c r="W332" s="37" t="s">
        <v>122</v>
      </c>
      <c r="X332" s="37"/>
      <c r="Y332" s="37"/>
      <c r="Z332" s="37"/>
      <c r="AA332" s="37">
        <v>0.2</v>
      </c>
    </row>
    <row r="333" spans="1:27" x14ac:dyDescent="0.25">
      <c r="A333" s="37" t="s">
        <v>953</v>
      </c>
      <c r="B333" s="37" t="s">
        <v>162</v>
      </c>
      <c r="C333" s="37" t="s">
        <v>967</v>
      </c>
      <c r="D333" s="37" t="s">
        <v>117</v>
      </c>
      <c r="E333" s="37" t="s">
        <v>78</v>
      </c>
      <c r="F333" s="37"/>
      <c r="G333" s="37" t="s">
        <v>119</v>
      </c>
      <c r="H333" s="37" t="s">
        <v>427</v>
      </c>
      <c r="I333" s="37" t="s">
        <v>229</v>
      </c>
      <c r="J333" s="37" t="s">
        <v>121</v>
      </c>
      <c r="K333" s="37" t="s">
        <v>427</v>
      </c>
      <c r="L333" s="37" t="s">
        <v>122</v>
      </c>
      <c r="M333" s="37" t="s">
        <v>123</v>
      </c>
      <c r="N333" s="37" t="s">
        <v>698</v>
      </c>
      <c r="O333" s="37" t="s">
        <v>122</v>
      </c>
      <c r="P333" s="37"/>
      <c r="Q333" s="37"/>
      <c r="R333" s="37"/>
      <c r="S333" s="37"/>
      <c r="T333" s="37"/>
      <c r="U333" s="37" t="s">
        <v>128</v>
      </c>
      <c r="V333" s="37" t="s">
        <v>698</v>
      </c>
      <c r="W333" s="37" t="s">
        <v>122</v>
      </c>
      <c r="X333" s="37"/>
      <c r="Y333" s="37"/>
      <c r="Z333" s="37"/>
      <c r="AA333" s="37">
        <v>0.2</v>
      </c>
    </row>
    <row r="334" spans="1:27" x14ac:dyDescent="0.25">
      <c r="A334" s="37" t="s">
        <v>962</v>
      </c>
      <c r="B334" s="37" t="s">
        <v>115</v>
      </c>
      <c r="C334" s="37" t="s">
        <v>968</v>
      </c>
      <c r="D334" s="37" t="s">
        <v>117</v>
      </c>
      <c r="E334" s="37" t="s">
        <v>78</v>
      </c>
      <c r="F334" s="37"/>
      <c r="G334" s="37" t="s">
        <v>119</v>
      </c>
      <c r="H334" s="37" t="s">
        <v>427</v>
      </c>
      <c r="I334" s="37" t="s">
        <v>340</v>
      </c>
      <c r="J334" s="37" t="s">
        <v>121</v>
      </c>
      <c r="K334" s="37" t="s">
        <v>427</v>
      </c>
      <c r="L334" s="37" t="s">
        <v>122</v>
      </c>
      <c r="M334" s="37" t="s">
        <v>123</v>
      </c>
      <c r="N334" s="37" t="s">
        <v>698</v>
      </c>
      <c r="O334" s="37" t="s">
        <v>122</v>
      </c>
      <c r="P334" s="37"/>
      <c r="Q334" s="37"/>
      <c r="R334" s="37"/>
      <c r="S334" s="37"/>
      <c r="T334" s="37"/>
      <c r="U334" s="37" t="s">
        <v>128</v>
      </c>
      <c r="V334" s="37" t="s">
        <v>698</v>
      </c>
      <c r="W334" s="37" t="s">
        <v>122</v>
      </c>
      <c r="X334" s="37"/>
      <c r="Y334" s="37"/>
      <c r="Z334" s="37"/>
      <c r="AA334" s="37">
        <v>0.2</v>
      </c>
    </row>
    <row r="335" spans="1:27" x14ac:dyDescent="0.25">
      <c r="A335" s="37" t="s">
        <v>953</v>
      </c>
      <c r="B335" s="37" t="s">
        <v>969</v>
      </c>
      <c r="C335" s="37" t="s">
        <v>970</v>
      </c>
      <c r="D335" s="37" t="s">
        <v>149</v>
      </c>
      <c r="E335" s="37" t="s">
        <v>78</v>
      </c>
      <c r="F335" s="37"/>
      <c r="G335" s="37" t="s">
        <v>119</v>
      </c>
      <c r="H335" s="37" t="s">
        <v>78</v>
      </c>
      <c r="I335" s="37" t="s">
        <v>971</v>
      </c>
      <c r="J335" s="37" t="s">
        <v>135</v>
      </c>
      <c r="K335" s="37" t="s">
        <v>78</v>
      </c>
      <c r="L335" s="37" t="s">
        <v>122</v>
      </c>
      <c r="M335" s="37" t="s">
        <v>136</v>
      </c>
      <c r="N335" s="37" t="s">
        <v>78</v>
      </c>
      <c r="O335" s="37" t="s">
        <v>122</v>
      </c>
      <c r="P335" s="37"/>
      <c r="Q335" s="37"/>
      <c r="R335" s="37"/>
      <c r="S335" s="37"/>
      <c r="T335" s="37"/>
      <c r="U335" s="37" t="s">
        <v>128</v>
      </c>
      <c r="V335" s="37" t="s">
        <v>78</v>
      </c>
      <c r="W335" s="37" t="s">
        <v>122</v>
      </c>
      <c r="X335" s="37" t="s">
        <v>136</v>
      </c>
      <c r="Y335" s="37" t="s">
        <v>78</v>
      </c>
      <c r="Z335" s="37"/>
      <c r="AA335" s="37">
        <v>0.2</v>
      </c>
    </row>
    <row r="336" spans="1:27" x14ac:dyDescent="0.25">
      <c r="A336" s="37" t="s">
        <v>953</v>
      </c>
      <c r="B336" s="37" t="s">
        <v>183</v>
      </c>
      <c r="C336" s="37" t="s">
        <v>972</v>
      </c>
      <c r="D336" s="37" t="s">
        <v>135</v>
      </c>
      <c r="E336" s="37" t="s">
        <v>78</v>
      </c>
      <c r="F336" s="37"/>
      <c r="G336" s="37" t="s">
        <v>119</v>
      </c>
      <c r="H336" s="37" t="s">
        <v>81</v>
      </c>
      <c r="I336" s="37" t="s">
        <v>973</v>
      </c>
      <c r="J336" s="37" t="s">
        <v>149</v>
      </c>
      <c r="K336" s="37" t="s">
        <v>81</v>
      </c>
      <c r="L336" s="37" t="s">
        <v>122</v>
      </c>
      <c r="M336" s="37" t="s">
        <v>470</v>
      </c>
      <c r="N336" s="37" t="s">
        <v>698</v>
      </c>
      <c r="O336" s="37" t="s">
        <v>122</v>
      </c>
      <c r="P336" s="37"/>
      <c r="Q336" s="37"/>
      <c r="R336" s="37"/>
      <c r="S336" s="37"/>
      <c r="T336" s="37"/>
      <c r="U336" s="37" t="s">
        <v>128</v>
      </c>
      <c r="V336" s="37" t="s">
        <v>698</v>
      </c>
      <c r="W336" s="37" t="s">
        <v>122</v>
      </c>
      <c r="X336" s="37"/>
      <c r="Y336" s="37"/>
      <c r="Z336" s="37"/>
      <c r="AA336" s="37">
        <v>0.2</v>
      </c>
    </row>
    <row r="337" spans="1:27" x14ac:dyDescent="0.25">
      <c r="A337" s="37" t="s">
        <v>76</v>
      </c>
      <c r="B337" s="37" t="s">
        <v>362</v>
      </c>
      <c r="C337" s="37" t="s">
        <v>974</v>
      </c>
      <c r="D337" s="37" t="s">
        <v>503</v>
      </c>
      <c r="E337" s="37" t="s">
        <v>78</v>
      </c>
      <c r="F337" s="37"/>
      <c r="G337" s="37" t="s">
        <v>365</v>
      </c>
      <c r="H337" s="37" t="s">
        <v>78</v>
      </c>
      <c r="I337" s="37" t="s">
        <v>148</v>
      </c>
      <c r="J337" s="37" t="s">
        <v>149</v>
      </c>
      <c r="K337" s="37" t="s">
        <v>78</v>
      </c>
      <c r="L337" s="37" t="s">
        <v>122</v>
      </c>
      <c r="M337" s="37" t="s">
        <v>470</v>
      </c>
      <c r="N337" s="37" t="s">
        <v>698</v>
      </c>
      <c r="O337" s="37" t="s">
        <v>122</v>
      </c>
      <c r="P337" s="37"/>
      <c r="Q337" s="37"/>
      <c r="R337" s="37"/>
      <c r="S337" s="37"/>
      <c r="T337" s="37"/>
      <c r="U337" s="37" t="s">
        <v>128</v>
      </c>
      <c r="V337" s="37" t="s">
        <v>698</v>
      </c>
      <c r="W337" s="37" t="s">
        <v>122</v>
      </c>
      <c r="X337" s="37"/>
      <c r="Y337" s="37"/>
      <c r="Z337" s="37"/>
      <c r="AA337" s="37">
        <v>0.2</v>
      </c>
    </row>
    <row r="338" spans="1:27" x14ac:dyDescent="0.25">
      <c r="A338" s="37" t="s">
        <v>953</v>
      </c>
      <c r="B338" s="37" t="s">
        <v>532</v>
      </c>
      <c r="C338" s="37" t="s">
        <v>975</v>
      </c>
      <c r="D338" s="37" t="s">
        <v>169</v>
      </c>
      <c r="E338" s="37" t="s">
        <v>78</v>
      </c>
      <c r="F338" s="37" t="s">
        <v>976</v>
      </c>
      <c r="G338" s="37" t="s">
        <v>119</v>
      </c>
      <c r="H338" s="37" t="s">
        <v>78</v>
      </c>
      <c r="I338" s="37" t="s">
        <v>977</v>
      </c>
      <c r="J338" s="37" t="s">
        <v>121</v>
      </c>
      <c r="K338" s="37" t="s">
        <v>78</v>
      </c>
      <c r="L338" s="37" t="s">
        <v>122</v>
      </c>
      <c r="M338" s="37" t="s">
        <v>123</v>
      </c>
      <c r="N338" s="37" t="s">
        <v>698</v>
      </c>
      <c r="O338" s="37" t="s">
        <v>374</v>
      </c>
      <c r="P338" s="37"/>
      <c r="Q338" s="37"/>
      <c r="R338" s="37"/>
      <c r="S338" s="37"/>
      <c r="T338" s="37"/>
      <c r="U338" s="37" t="s">
        <v>128</v>
      </c>
      <c r="V338" s="37" t="s">
        <v>698</v>
      </c>
      <c r="W338" s="37" t="s">
        <v>122</v>
      </c>
      <c r="X338" s="37"/>
      <c r="Y338" s="37"/>
      <c r="Z338" s="37"/>
      <c r="AA338" s="37">
        <v>0.2</v>
      </c>
    </row>
    <row r="339" spans="1:27" x14ac:dyDescent="0.25">
      <c r="A339" s="37" t="s">
        <v>978</v>
      </c>
      <c r="B339" s="37" t="s">
        <v>115</v>
      </c>
      <c r="C339" s="37" t="s">
        <v>979</v>
      </c>
      <c r="D339" s="37" t="s">
        <v>149</v>
      </c>
      <c r="E339" s="37" t="s">
        <v>78</v>
      </c>
      <c r="F339" s="37"/>
      <c r="G339" s="37" t="s">
        <v>119</v>
      </c>
      <c r="H339" s="37" t="s">
        <v>78</v>
      </c>
      <c r="I339" s="37" t="s">
        <v>980</v>
      </c>
      <c r="J339" s="37" t="s">
        <v>135</v>
      </c>
      <c r="K339" s="37" t="s">
        <v>78</v>
      </c>
      <c r="L339" s="37" t="s">
        <v>122</v>
      </c>
      <c r="M339" s="37" t="s">
        <v>136</v>
      </c>
      <c r="N339" s="37" t="s">
        <v>78</v>
      </c>
      <c r="O339" s="37" t="s">
        <v>122</v>
      </c>
      <c r="P339" s="37" t="s">
        <v>910</v>
      </c>
      <c r="Q339" s="37" t="s">
        <v>125</v>
      </c>
      <c r="R339" s="37" t="s">
        <v>698</v>
      </c>
      <c r="S339" s="37" t="s">
        <v>127</v>
      </c>
      <c r="T339" s="37" t="s">
        <v>127</v>
      </c>
      <c r="U339" s="37" t="s">
        <v>128</v>
      </c>
      <c r="V339" s="37" t="s">
        <v>78</v>
      </c>
      <c r="W339" s="37" t="s">
        <v>122</v>
      </c>
      <c r="X339" s="37" t="s">
        <v>136</v>
      </c>
      <c r="Y339" s="37" t="s">
        <v>78</v>
      </c>
      <c r="Z339" s="37"/>
      <c r="AA339" s="37">
        <v>0.2</v>
      </c>
    </row>
    <row r="340" spans="1:27" x14ac:dyDescent="0.25">
      <c r="A340" s="37" t="s">
        <v>981</v>
      </c>
      <c r="B340" s="37" t="s">
        <v>209</v>
      </c>
      <c r="C340" s="37" t="s">
        <v>982</v>
      </c>
      <c r="D340" s="37" t="s">
        <v>135</v>
      </c>
      <c r="E340" s="37" t="s">
        <v>78</v>
      </c>
      <c r="F340" s="37"/>
      <c r="G340" s="37" t="s">
        <v>119</v>
      </c>
      <c r="H340" s="37" t="s">
        <v>81</v>
      </c>
      <c r="I340" s="37" t="s">
        <v>973</v>
      </c>
      <c r="J340" s="37" t="s">
        <v>149</v>
      </c>
      <c r="K340" s="37" t="s">
        <v>81</v>
      </c>
      <c r="L340" s="37" t="s">
        <v>122</v>
      </c>
      <c r="M340" s="37" t="s">
        <v>470</v>
      </c>
      <c r="N340" s="37" t="s">
        <v>698</v>
      </c>
      <c r="O340" s="37" t="s">
        <v>122</v>
      </c>
      <c r="P340" s="37"/>
      <c r="Q340" s="37"/>
      <c r="R340" s="37"/>
      <c r="S340" s="37"/>
      <c r="T340" s="37"/>
      <c r="U340" s="37" t="s">
        <v>128</v>
      </c>
      <c r="V340" s="37" t="s">
        <v>698</v>
      </c>
      <c r="W340" s="37" t="s">
        <v>122</v>
      </c>
      <c r="X340" s="37"/>
      <c r="Y340" s="37"/>
      <c r="Z340" s="37"/>
      <c r="AA340" s="37">
        <v>0.2</v>
      </c>
    </row>
    <row r="341" spans="1:27" x14ac:dyDescent="0.25">
      <c r="A341" s="37" t="s">
        <v>953</v>
      </c>
      <c r="B341" s="37" t="s">
        <v>242</v>
      </c>
      <c r="C341" s="37" t="s">
        <v>983</v>
      </c>
      <c r="D341" s="37" t="s">
        <v>149</v>
      </c>
      <c r="E341" s="37" t="s">
        <v>78</v>
      </c>
      <c r="F341" s="37"/>
      <c r="G341" s="37" t="s">
        <v>119</v>
      </c>
      <c r="H341" s="37" t="s">
        <v>78</v>
      </c>
      <c r="I341" s="37" t="s">
        <v>980</v>
      </c>
      <c r="J341" s="37" t="s">
        <v>135</v>
      </c>
      <c r="K341" s="37" t="s">
        <v>78</v>
      </c>
      <c r="L341" s="37" t="s">
        <v>122</v>
      </c>
      <c r="M341" s="37" t="s">
        <v>136</v>
      </c>
      <c r="N341" s="37" t="s">
        <v>78</v>
      </c>
      <c r="O341" s="37" t="s">
        <v>122</v>
      </c>
      <c r="P341" s="37"/>
      <c r="Q341" s="37"/>
      <c r="R341" s="37"/>
      <c r="S341" s="37"/>
      <c r="T341" s="37"/>
      <c r="U341" s="37" t="s">
        <v>128</v>
      </c>
      <c r="V341" s="37" t="s">
        <v>78</v>
      </c>
      <c r="W341" s="37" t="s">
        <v>122</v>
      </c>
      <c r="X341" s="37" t="s">
        <v>136</v>
      </c>
      <c r="Y341" s="37" t="s">
        <v>78</v>
      </c>
      <c r="Z341" s="37"/>
      <c r="AA341" s="37">
        <v>0.2</v>
      </c>
    </row>
    <row r="342" spans="1:27" x14ac:dyDescent="0.25">
      <c r="A342" s="37" t="s">
        <v>962</v>
      </c>
      <c r="B342" s="37" t="s">
        <v>167</v>
      </c>
      <c r="C342" s="37" t="s">
        <v>984</v>
      </c>
      <c r="D342" s="37" t="s">
        <v>214</v>
      </c>
      <c r="E342" s="37" t="s">
        <v>78</v>
      </c>
      <c r="F342" s="37"/>
      <c r="G342" s="37" t="s">
        <v>119</v>
      </c>
      <c r="H342" s="37" t="s">
        <v>78</v>
      </c>
      <c r="I342" s="37" t="s">
        <v>985</v>
      </c>
      <c r="J342" s="37" t="s">
        <v>121</v>
      </c>
      <c r="K342" s="37" t="s">
        <v>78</v>
      </c>
      <c r="L342" s="37" t="s">
        <v>122</v>
      </c>
      <c r="M342" s="37" t="s">
        <v>123</v>
      </c>
      <c r="N342" s="37" t="s">
        <v>427</v>
      </c>
      <c r="O342" s="37" t="s">
        <v>122</v>
      </c>
      <c r="P342" s="37" t="s">
        <v>630</v>
      </c>
      <c r="Q342" s="37" t="s">
        <v>174</v>
      </c>
      <c r="R342" s="37" t="s">
        <v>81</v>
      </c>
      <c r="S342" s="37" t="s">
        <v>127</v>
      </c>
      <c r="T342" s="37" t="s">
        <v>127</v>
      </c>
      <c r="U342" s="37" t="s">
        <v>128</v>
      </c>
      <c r="V342" s="37" t="s">
        <v>427</v>
      </c>
      <c r="W342" s="37" t="s">
        <v>122</v>
      </c>
      <c r="X342" s="37"/>
      <c r="Y342" s="37"/>
      <c r="Z342" s="37"/>
      <c r="AA342" s="37">
        <v>0.2</v>
      </c>
    </row>
    <row r="343" spans="1:27" x14ac:dyDescent="0.25">
      <c r="A343" s="37" t="s">
        <v>962</v>
      </c>
      <c r="B343" s="37" t="s">
        <v>156</v>
      </c>
      <c r="C343" s="37" t="s">
        <v>986</v>
      </c>
      <c r="D343" s="37" t="s">
        <v>135</v>
      </c>
      <c r="E343" s="37" t="s">
        <v>78</v>
      </c>
      <c r="F343" s="37"/>
      <c r="G343" s="37" t="s">
        <v>119</v>
      </c>
      <c r="H343" s="37" t="s">
        <v>81</v>
      </c>
      <c r="I343" s="37" t="s">
        <v>961</v>
      </c>
      <c r="J343" s="37" t="s">
        <v>149</v>
      </c>
      <c r="K343" s="37" t="s">
        <v>81</v>
      </c>
      <c r="L343" s="37" t="s">
        <v>122</v>
      </c>
      <c r="M343" s="37" t="s">
        <v>470</v>
      </c>
      <c r="N343" s="37" t="s">
        <v>698</v>
      </c>
      <c r="O343" s="37" t="s">
        <v>122</v>
      </c>
      <c r="P343" s="37"/>
      <c r="Q343" s="37"/>
      <c r="R343" s="37"/>
      <c r="S343" s="37"/>
      <c r="T343" s="37"/>
      <c r="U343" s="37" t="s">
        <v>128</v>
      </c>
      <c r="V343" s="37" t="s">
        <v>698</v>
      </c>
      <c r="W343" s="37" t="s">
        <v>122</v>
      </c>
      <c r="X343" s="37"/>
      <c r="Y343" s="37"/>
      <c r="Z343" s="37"/>
      <c r="AA343" s="37">
        <v>0.2</v>
      </c>
    </row>
    <row r="344" spans="1:27" x14ac:dyDescent="0.25">
      <c r="A344" s="37" t="s">
        <v>76</v>
      </c>
      <c r="B344" s="37" t="s">
        <v>242</v>
      </c>
      <c r="C344" s="37" t="s">
        <v>986</v>
      </c>
      <c r="D344" s="37" t="s">
        <v>135</v>
      </c>
      <c r="E344" s="37" t="s">
        <v>78</v>
      </c>
      <c r="F344" s="37"/>
      <c r="G344" s="37" t="s">
        <v>119</v>
      </c>
      <c r="H344" s="37" t="s">
        <v>81</v>
      </c>
      <c r="I344" s="37" t="s">
        <v>11</v>
      </c>
      <c r="J344" s="37" t="s">
        <v>149</v>
      </c>
      <c r="K344" s="37" t="s">
        <v>81</v>
      </c>
      <c r="L344" s="37" t="s">
        <v>122</v>
      </c>
      <c r="M344" s="37" t="s">
        <v>470</v>
      </c>
      <c r="N344" s="37" t="s">
        <v>698</v>
      </c>
      <c r="O344" s="37" t="s">
        <v>122</v>
      </c>
      <c r="P344" s="37"/>
      <c r="Q344" s="37"/>
      <c r="R344" s="37"/>
      <c r="S344" s="37"/>
      <c r="T344" s="37"/>
      <c r="U344" s="37" t="s">
        <v>128</v>
      </c>
      <c r="V344" s="37" t="s">
        <v>698</v>
      </c>
      <c r="W344" s="37" t="s">
        <v>122</v>
      </c>
      <c r="X344" s="37"/>
      <c r="Y344" s="37"/>
      <c r="Z344" s="37"/>
      <c r="AA344" s="37">
        <v>0.2</v>
      </c>
    </row>
    <row r="345" spans="1:27" x14ac:dyDescent="0.25">
      <c r="A345" s="37" t="s">
        <v>987</v>
      </c>
      <c r="B345" s="37" t="s">
        <v>156</v>
      </c>
      <c r="C345" s="37" t="s">
        <v>988</v>
      </c>
      <c r="D345" s="37" t="s">
        <v>135</v>
      </c>
      <c r="E345" s="37" t="s">
        <v>427</v>
      </c>
      <c r="F345" s="37"/>
      <c r="G345" s="37" t="s">
        <v>119</v>
      </c>
      <c r="H345" s="37" t="s">
        <v>81</v>
      </c>
      <c r="I345" s="37" t="s">
        <v>961</v>
      </c>
      <c r="J345" s="37" t="s">
        <v>149</v>
      </c>
      <c r="K345" s="37" t="s">
        <v>81</v>
      </c>
      <c r="L345" s="37" t="s">
        <v>122</v>
      </c>
      <c r="M345" s="37" t="s">
        <v>470</v>
      </c>
      <c r="N345" s="37" t="s">
        <v>698</v>
      </c>
      <c r="O345" s="37" t="s">
        <v>122</v>
      </c>
      <c r="P345" s="37"/>
      <c r="Q345" s="37"/>
      <c r="R345" s="37"/>
      <c r="S345" s="37"/>
      <c r="T345" s="37"/>
      <c r="U345" s="37" t="s">
        <v>128</v>
      </c>
      <c r="V345" s="37" t="s">
        <v>698</v>
      </c>
      <c r="W345" s="37" t="s">
        <v>122</v>
      </c>
      <c r="X345" s="37"/>
      <c r="Y345" s="37"/>
      <c r="Z345" s="37"/>
      <c r="AA345" s="37">
        <v>0.2</v>
      </c>
    </row>
    <row r="346" spans="1:27" x14ac:dyDescent="0.25">
      <c r="A346" s="37" t="s">
        <v>987</v>
      </c>
      <c r="B346" s="37" t="s">
        <v>331</v>
      </c>
      <c r="C346" s="37" t="s">
        <v>989</v>
      </c>
      <c r="D346" s="37" t="s">
        <v>178</v>
      </c>
      <c r="E346" s="37" t="s">
        <v>427</v>
      </c>
      <c r="F346" s="37"/>
      <c r="G346" s="37" t="s">
        <v>119</v>
      </c>
      <c r="H346" s="37" t="s">
        <v>427</v>
      </c>
      <c r="I346" s="37" t="s">
        <v>990</v>
      </c>
      <c r="J346" s="37" t="s">
        <v>121</v>
      </c>
      <c r="K346" s="37" t="s">
        <v>427</v>
      </c>
      <c r="L346" s="37" t="s">
        <v>122</v>
      </c>
      <c r="M346" s="37" t="s">
        <v>123</v>
      </c>
      <c r="N346" s="37" t="s">
        <v>427</v>
      </c>
      <c r="O346" s="37" t="s">
        <v>122</v>
      </c>
      <c r="P346" s="37"/>
      <c r="Q346" s="37"/>
      <c r="R346" s="37"/>
      <c r="S346" s="37"/>
      <c r="T346" s="37"/>
      <c r="U346" s="37" t="s">
        <v>128</v>
      </c>
      <c r="V346" s="37" t="s">
        <v>427</v>
      </c>
      <c r="W346" s="37" t="s">
        <v>122</v>
      </c>
      <c r="X346" s="37" t="s">
        <v>128</v>
      </c>
      <c r="Y346" s="37" t="s">
        <v>427</v>
      </c>
      <c r="Z346" s="37"/>
      <c r="AA346" s="37">
        <v>0.2</v>
      </c>
    </row>
    <row r="347" spans="1:27" x14ac:dyDescent="0.25">
      <c r="A347" s="37" t="s">
        <v>991</v>
      </c>
      <c r="B347" s="37" t="s">
        <v>167</v>
      </c>
      <c r="C347" s="37" t="s">
        <v>992</v>
      </c>
      <c r="D347" s="37" t="s">
        <v>214</v>
      </c>
      <c r="E347" s="37" t="s">
        <v>427</v>
      </c>
      <c r="F347" s="37"/>
      <c r="G347" s="37" t="s">
        <v>119</v>
      </c>
      <c r="H347" s="37" t="s">
        <v>427</v>
      </c>
      <c r="I347" s="37" t="s">
        <v>993</v>
      </c>
      <c r="J347" s="37" t="s">
        <v>135</v>
      </c>
      <c r="K347" s="37" t="s">
        <v>427</v>
      </c>
      <c r="L347" s="37" t="s">
        <v>122</v>
      </c>
      <c r="M347" s="37" t="s">
        <v>123</v>
      </c>
      <c r="N347" s="37" t="s">
        <v>427</v>
      </c>
      <c r="O347" s="37" t="s">
        <v>122</v>
      </c>
      <c r="P347" s="37" t="s">
        <v>630</v>
      </c>
      <c r="Q347" s="37" t="s">
        <v>174</v>
      </c>
      <c r="R347" s="37" t="s">
        <v>81</v>
      </c>
      <c r="S347" s="37" t="s">
        <v>127</v>
      </c>
      <c r="T347" s="37" t="s">
        <v>127</v>
      </c>
      <c r="U347" s="37" t="s">
        <v>128</v>
      </c>
      <c r="V347" s="37" t="s">
        <v>427</v>
      </c>
      <c r="W347" s="37" t="s">
        <v>122</v>
      </c>
      <c r="X347" s="37"/>
      <c r="Y347" s="37"/>
      <c r="Z347" s="37"/>
      <c r="AA347" s="37">
        <v>0.2</v>
      </c>
    </row>
    <row r="348" spans="1:27" x14ac:dyDescent="0.25">
      <c r="A348" s="37" t="s">
        <v>991</v>
      </c>
      <c r="B348" s="37" t="s">
        <v>362</v>
      </c>
      <c r="C348" s="37" t="s">
        <v>994</v>
      </c>
      <c r="D348" s="37" t="s">
        <v>503</v>
      </c>
      <c r="E348" s="37" t="s">
        <v>427</v>
      </c>
      <c r="F348" s="37"/>
      <c r="G348" s="37" t="s">
        <v>365</v>
      </c>
      <c r="H348" s="37" t="s">
        <v>81</v>
      </c>
      <c r="I348" s="37" t="s">
        <v>148</v>
      </c>
      <c r="J348" s="37" t="s">
        <v>149</v>
      </c>
      <c r="K348" s="37" t="s">
        <v>81</v>
      </c>
      <c r="L348" s="37" t="s">
        <v>122</v>
      </c>
      <c r="M348" s="37" t="s">
        <v>470</v>
      </c>
      <c r="N348" s="37" t="s">
        <v>698</v>
      </c>
      <c r="O348" s="37" t="s">
        <v>122</v>
      </c>
      <c r="P348" s="37" t="s">
        <v>439</v>
      </c>
      <c r="Q348" s="37" t="s">
        <v>440</v>
      </c>
      <c r="R348" s="37" t="s">
        <v>441</v>
      </c>
      <c r="S348" s="37" t="s">
        <v>127</v>
      </c>
      <c r="T348" s="37" t="s">
        <v>127</v>
      </c>
      <c r="U348" s="37" t="s">
        <v>128</v>
      </c>
      <c r="V348" s="37" t="s">
        <v>698</v>
      </c>
      <c r="W348" s="37" t="s">
        <v>122</v>
      </c>
      <c r="X348" s="37"/>
      <c r="Y348" s="37"/>
      <c r="Z348" s="37"/>
      <c r="AA348" s="37">
        <v>0.2</v>
      </c>
    </row>
    <row r="349" spans="1:27" x14ac:dyDescent="0.25">
      <c r="A349" s="37" t="s">
        <v>995</v>
      </c>
      <c r="B349" s="37" t="s">
        <v>130</v>
      </c>
      <c r="C349" s="37" t="s">
        <v>996</v>
      </c>
      <c r="D349" s="37" t="s">
        <v>132</v>
      </c>
      <c r="E349" s="37" t="s">
        <v>427</v>
      </c>
      <c r="F349" s="37"/>
      <c r="G349" s="37" t="s">
        <v>119</v>
      </c>
      <c r="H349" s="37" t="s">
        <v>698</v>
      </c>
      <c r="I349" s="37" t="s">
        <v>997</v>
      </c>
      <c r="J349" s="37" t="s">
        <v>121</v>
      </c>
      <c r="K349" s="37" t="s">
        <v>84</v>
      </c>
      <c r="L349" s="37" t="s">
        <v>122</v>
      </c>
      <c r="M349" s="37" t="s">
        <v>136</v>
      </c>
      <c r="N349" s="37" t="s">
        <v>89</v>
      </c>
      <c r="O349" s="37" t="s">
        <v>122</v>
      </c>
      <c r="P349" s="37"/>
      <c r="Q349" s="37"/>
      <c r="R349" s="37"/>
      <c r="S349" s="37"/>
      <c r="T349" s="37"/>
      <c r="U349" s="37" t="s">
        <v>128</v>
      </c>
      <c r="V349" s="37" t="s">
        <v>89</v>
      </c>
      <c r="W349" s="37" t="s">
        <v>122</v>
      </c>
      <c r="X349" s="37" t="s">
        <v>136</v>
      </c>
      <c r="Y349" s="37"/>
      <c r="Z349" s="37"/>
      <c r="AA349" s="37">
        <v>0.2</v>
      </c>
    </row>
    <row r="350" spans="1:27" x14ac:dyDescent="0.25">
      <c r="A350" s="37" t="s">
        <v>995</v>
      </c>
      <c r="B350" s="37" t="s">
        <v>115</v>
      </c>
      <c r="C350" s="37" t="s">
        <v>998</v>
      </c>
      <c r="D350" s="37" t="s">
        <v>117</v>
      </c>
      <c r="E350" s="37" t="s">
        <v>427</v>
      </c>
      <c r="F350" s="37"/>
      <c r="G350" s="37" t="s">
        <v>119</v>
      </c>
      <c r="H350" s="37" t="s">
        <v>698</v>
      </c>
      <c r="I350" s="37" t="s">
        <v>460</v>
      </c>
      <c r="J350" s="37" t="s">
        <v>121</v>
      </c>
      <c r="K350" s="37" t="s">
        <v>698</v>
      </c>
      <c r="L350" s="37" t="s">
        <v>122</v>
      </c>
      <c r="M350" s="37" t="s">
        <v>123</v>
      </c>
      <c r="N350" s="37" t="s">
        <v>698</v>
      </c>
      <c r="O350" s="37" t="s">
        <v>122</v>
      </c>
      <c r="P350" s="37"/>
      <c r="Q350" s="37"/>
      <c r="R350" s="37"/>
      <c r="S350" s="37"/>
      <c r="T350" s="37"/>
      <c r="U350" s="37" t="s">
        <v>128</v>
      </c>
      <c r="V350" s="37" t="s">
        <v>698</v>
      </c>
      <c r="W350" s="37" t="s">
        <v>122</v>
      </c>
      <c r="X350" s="37"/>
      <c r="Y350" s="37"/>
      <c r="Z350" s="37"/>
      <c r="AA350" s="37">
        <v>0.2</v>
      </c>
    </row>
    <row r="351" spans="1:27" x14ac:dyDescent="0.25">
      <c r="A351" s="37" t="s">
        <v>995</v>
      </c>
      <c r="B351" s="37" t="s">
        <v>167</v>
      </c>
      <c r="C351" s="37" t="s">
        <v>999</v>
      </c>
      <c r="D351" s="37" t="s">
        <v>214</v>
      </c>
      <c r="E351" s="37" t="s">
        <v>427</v>
      </c>
      <c r="F351" s="37"/>
      <c r="G351" s="37" t="s">
        <v>119</v>
      </c>
      <c r="H351" s="37" t="s">
        <v>427</v>
      </c>
      <c r="I351" s="37" t="s">
        <v>985</v>
      </c>
      <c r="J351" s="37" t="s">
        <v>135</v>
      </c>
      <c r="K351" s="37" t="s">
        <v>427</v>
      </c>
      <c r="L351" s="37" t="s">
        <v>122</v>
      </c>
      <c r="M351" s="37" t="s">
        <v>123</v>
      </c>
      <c r="N351" s="37" t="s">
        <v>427</v>
      </c>
      <c r="O351" s="37" t="s">
        <v>122</v>
      </c>
      <c r="P351" s="37" t="s">
        <v>630</v>
      </c>
      <c r="Q351" s="37" t="s">
        <v>174</v>
      </c>
      <c r="R351" s="37" t="s">
        <v>81</v>
      </c>
      <c r="S351" s="37" t="s">
        <v>127</v>
      </c>
      <c r="T351" s="37" t="s">
        <v>127</v>
      </c>
      <c r="U351" s="37" t="s">
        <v>128</v>
      </c>
      <c r="V351" s="37" t="s">
        <v>427</v>
      </c>
      <c r="W351" s="37" t="s">
        <v>122</v>
      </c>
      <c r="X351" s="37"/>
      <c r="Y351" s="37"/>
      <c r="Z351" s="37"/>
      <c r="AA351" s="37">
        <v>0.2</v>
      </c>
    </row>
    <row r="352" spans="1:27" x14ac:dyDescent="0.25">
      <c r="A352" s="37" t="s">
        <v>995</v>
      </c>
      <c r="B352" s="37" t="s">
        <v>362</v>
      </c>
      <c r="C352" s="37" t="s">
        <v>1000</v>
      </c>
      <c r="D352" s="37" t="s">
        <v>503</v>
      </c>
      <c r="E352" s="37" t="s">
        <v>427</v>
      </c>
      <c r="F352" s="37"/>
      <c r="G352" s="37" t="s">
        <v>365</v>
      </c>
      <c r="H352" s="37" t="s">
        <v>81</v>
      </c>
      <c r="I352" s="37" t="s">
        <v>148</v>
      </c>
      <c r="J352" s="37" t="s">
        <v>149</v>
      </c>
      <c r="K352" s="37" t="s">
        <v>81</v>
      </c>
      <c r="L352" s="37" t="s">
        <v>122</v>
      </c>
      <c r="M352" s="37" t="s">
        <v>470</v>
      </c>
      <c r="N352" s="37" t="s">
        <v>698</v>
      </c>
      <c r="O352" s="37" t="s">
        <v>122</v>
      </c>
      <c r="P352" s="37" t="s">
        <v>439</v>
      </c>
      <c r="Q352" s="37" t="s">
        <v>440</v>
      </c>
      <c r="R352" s="37" t="s">
        <v>441</v>
      </c>
      <c r="S352" s="37" t="s">
        <v>127</v>
      </c>
      <c r="T352" s="37" t="s">
        <v>127</v>
      </c>
      <c r="U352" s="37" t="s">
        <v>128</v>
      </c>
      <c r="V352" s="37" t="s">
        <v>698</v>
      </c>
      <c r="W352" s="37" t="s">
        <v>122</v>
      </c>
      <c r="X352" s="37"/>
      <c r="Y352" s="37"/>
      <c r="Z352" s="37"/>
      <c r="AA352" s="37">
        <v>0.2</v>
      </c>
    </row>
    <row r="353" spans="1:27" x14ac:dyDescent="0.25">
      <c r="A353" s="37" t="s">
        <v>1001</v>
      </c>
      <c r="B353" s="37" t="s">
        <v>130</v>
      </c>
      <c r="C353" s="37" t="s">
        <v>1002</v>
      </c>
      <c r="D353" s="37" t="s">
        <v>146</v>
      </c>
      <c r="E353" s="37" t="s">
        <v>427</v>
      </c>
      <c r="F353" s="37" t="s">
        <v>1003</v>
      </c>
      <c r="G353" s="37" t="s">
        <v>147</v>
      </c>
      <c r="H353" s="37" t="s">
        <v>84</v>
      </c>
      <c r="I353" s="37" t="s">
        <v>1004</v>
      </c>
      <c r="J353" s="37" t="s">
        <v>149</v>
      </c>
      <c r="K353" s="37" t="s">
        <v>84</v>
      </c>
      <c r="L353" s="37" t="s">
        <v>122</v>
      </c>
      <c r="M353" s="37" t="s">
        <v>136</v>
      </c>
      <c r="N353" s="37" t="s">
        <v>89</v>
      </c>
      <c r="O353" s="37" t="s">
        <v>122</v>
      </c>
      <c r="P353" s="37"/>
      <c r="Q353" s="37"/>
      <c r="R353" s="37"/>
      <c r="S353" s="37"/>
      <c r="T353" s="37"/>
      <c r="U353" s="37" t="s">
        <v>128</v>
      </c>
      <c r="V353" s="37" t="s">
        <v>89</v>
      </c>
      <c r="W353" s="37" t="s">
        <v>122</v>
      </c>
      <c r="X353" s="37"/>
      <c r="Y353" s="37"/>
      <c r="Z353" s="37"/>
      <c r="AA353" s="37">
        <v>0.2</v>
      </c>
    </row>
    <row r="354" spans="1:27" x14ac:dyDescent="0.25">
      <c r="A354" s="37" t="s">
        <v>1005</v>
      </c>
      <c r="B354" s="37" t="s">
        <v>130</v>
      </c>
      <c r="C354" s="37" t="s">
        <v>1006</v>
      </c>
      <c r="D354" s="37" t="s">
        <v>146</v>
      </c>
      <c r="E354" s="37" t="s">
        <v>427</v>
      </c>
      <c r="F354" s="37"/>
      <c r="G354" s="37" t="s">
        <v>147</v>
      </c>
      <c r="H354" s="37" t="s">
        <v>84</v>
      </c>
      <c r="I354" s="37" t="s">
        <v>148</v>
      </c>
      <c r="J354" s="37" t="s">
        <v>149</v>
      </c>
      <c r="K354" s="37" t="s">
        <v>84</v>
      </c>
      <c r="L354" s="37" t="s">
        <v>122</v>
      </c>
      <c r="M354" s="37" t="s">
        <v>136</v>
      </c>
      <c r="N354" s="37" t="s">
        <v>89</v>
      </c>
      <c r="O354" s="37" t="s">
        <v>122</v>
      </c>
      <c r="P354" s="37"/>
      <c r="Q354" s="37"/>
      <c r="R354" s="37"/>
      <c r="S354" s="37"/>
      <c r="T354" s="37"/>
      <c r="U354" s="37" t="s">
        <v>128</v>
      </c>
      <c r="V354" s="37" t="s">
        <v>89</v>
      </c>
      <c r="W354" s="37" t="s">
        <v>122</v>
      </c>
      <c r="X354" s="37" t="s">
        <v>136</v>
      </c>
      <c r="Y354" s="37"/>
      <c r="Z354" s="37"/>
      <c r="AA354" s="37">
        <v>0.2</v>
      </c>
    </row>
    <row r="355" spans="1:27" x14ac:dyDescent="0.25">
      <c r="A355" s="37" t="s">
        <v>1007</v>
      </c>
      <c r="B355" s="37" t="s">
        <v>167</v>
      </c>
      <c r="C355" s="37" t="s">
        <v>1008</v>
      </c>
      <c r="D355" s="37" t="s">
        <v>178</v>
      </c>
      <c r="E355" s="37" t="s">
        <v>1009</v>
      </c>
      <c r="F355" s="37"/>
      <c r="G355" s="37" t="s">
        <v>119</v>
      </c>
      <c r="H355" s="37" t="s">
        <v>1010</v>
      </c>
      <c r="I355" s="37" t="s">
        <v>1011</v>
      </c>
      <c r="J355" s="37" t="s">
        <v>121</v>
      </c>
      <c r="K355" s="37" t="s">
        <v>89</v>
      </c>
      <c r="L355" s="37" t="s">
        <v>122</v>
      </c>
      <c r="M355" s="37" t="s">
        <v>136</v>
      </c>
      <c r="N355" s="37" t="s">
        <v>89</v>
      </c>
      <c r="O355" s="37" t="s">
        <v>122</v>
      </c>
      <c r="P355" s="37"/>
      <c r="Q355" s="37"/>
      <c r="R355" s="37"/>
      <c r="S355" s="37"/>
      <c r="T355" s="37"/>
      <c r="U355" s="37" t="s">
        <v>128</v>
      </c>
      <c r="V355" s="37" t="s">
        <v>89</v>
      </c>
      <c r="W355" s="37" t="s">
        <v>122</v>
      </c>
      <c r="X355" s="37" t="s">
        <v>136</v>
      </c>
      <c r="Y355" s="37" t="s">
        <v>89</v>
      </c>
      <c r="Z355" s="37"/>
      <c r="AA355" s="37">
        <v>0.2</v>
      </c>
    </row>
    <row r="356" spans="1:27" x14ac:dyDescent="0.25">
      <c r="A356" s="37" t="s">
        <v>1012</v>
      </c>
      <c r="B356" s="37" t="s">
        <v>156</v>
      </c>
      <c r="C356" s="37" t="s">
        <v>1013</v>
      </c>
      <c r="D356" s="37" t="s">
        <v>135</v>
      </c>
      <c r="E356" s="37" t="s">
        <v>81</v>
      </c>
      <c r="F356" s="37"/>
      <c r="G356" s="37" t="s">
        <v>119</v>
      </c>
      <c r="H356" s="37" t="s">
        <v>81</v>
      </c>
      <c r="I356" s="37" t="s">
        <v>1014</v>
      </c>
      <c r="J356" s="37" t="s">
        <v>149</v>
      </c>
      <c r="K356" s="37" t="s">
        <v>81</v>
      </c>
      <c r="L356" s="37" t="s">
        <v>122</v>
      </c>
      <c r="M356" s="37" t="s">
        <v>470</v>
      </c>
      <c r="N356" s="37" t="s">
        <v>698</v>
      </c>
      <c r="O356" s="37" t="s">
        <v>122</v>
      </c>
      <c r="P356" s="37"/>
      <c r="Q356" s="37"/>
      <c r="R356" s="37"/>
      <c r="S356" s="37"/>
      <c r="T356" s="37"/>
      <c r="U356" s="37" t="s">
        <v>128</v>
      </c>
      <c r="V356" s="37" t="s">
        <v>698</v>
      </c>
      <c r="W356" s="37" t="s">
        <v>122</v>
      </c>
      <c r="X356" s="37"/>
      <c r="Y356" s="37"/>
      <c r="Z356" s="37"/>
      <c r="AA356" s="37">
        <v>0.2</v>
      </c>
    </row>
    <row r="357" spans="1:27" x14ac:dyDescent="0.25">
      <c r="A357" s="37" t="s">
        <v>1012</v>
      </c>
      <c r="B357" s="37" t="s">
        <v>162</v>
      </c>
      <c r="C357" s="37" t="s">
        <v>1015</v>
      </c>
      <c r="D357" s="37" t="s">
        <v>117</v>
      </c>
      <c r="E357" s="37" t="s">
        <v>81</v>
      </c>
      <c r="F357" s="37"/>
      <c r="G357" s="37" t="s">
        <v>119</v>
      </c>
      <c r="H357" s="37" t="s">
        <v>698</v>
      </c>
      <c r="I357" s="37" t="s">
        <v>1016</v>
      </c>
      <c r="J357" s="37" t="s">
        <v>121</v>
      </c>
      <c r="K357" s="37" t="s">
        <v>698</v>
      </c>
      <c r="L357" s="37" t="s">
        <v>122</v>
      </c>
      <c r="M357" s="37" t="s">
        <v>123</v>
      </c>
      <c r="N357" s="37" t="s">
        <v>698</v>
      </c>
      <c r="O357" s="37" t="s">
        <v>122</v>
      </c>
      <c r="P357" s="37"/>
      <c r="Q357" s="37"/>
      <c r="R357" s="37"/>
      <c r="S357" s="37"/>
      <c r="T357" s="37"/>
      <c r="U357" s="37" t="s">
        <v>128</v>
      </c>
      <c r="V357" s="37" t="s">
        <v>698</v>
      </c>
      <c r="W357" s="37" t="s">
        <v>122</v>
      </c>
      <c r="X357" s="37"/>
      <c r="Y357" s="37"/>
      <c r="Z357" s="37"/>
      <c r="AA357" s="37">
        <v>0.2</v>
      </c>
    </row>
    <row r="358" spans="1:27" x14ac:dyDescent="0.25">
      <c r="A358" s="37" t="s">
        <v>1012</v>
      </c>
      <c r="B358" s="37" t="s">
        <v>130</v>
      </c>
      <c r="C358" s="37" t="s">
        <v>1017</v>
      </c>
      <c r="D358" s="37" t="s">
        <v>146</v>
      </c>
      <c r="E358" s="37" t="s">
        <v>81</v>
      </c>
      <c r="F358" s="37"/>
      <c r="G358" s="37" t="s">
        <v>147</v>
      </c>
      <c r="H358" s="37" t="s">
        <v>84</v>
      </c>
      <c r="I358" s="37" t="s">
        <v>148</v>
      </c>
      <c r="J358" s="37" t="s">
        <v>149</v>
      </c>
      <c r="K358" s="37" t="s">
        <v>84</v>
      </c>
      <c r="L358" s="37" t="s">
        <v>122</v>
      </c>
      <c r="M358" s="37" t="s">
        <v>136</v>
      </c>
      <c r="N358" s="37" t="s">
        <v>89</v>
      </c>
      <c r="O358" s="37" t="s">
        <v>122</v>
      </c>
      <c r="P358" s="37"/>
      <c r="Q358" s="37"/>
      <c r="R358" s="37"/>
      <c r="S358" s="37"/>
      <c r="T358" s="37"/>
      <c r="U358" s="37" t="s">
        <v>128</v>
      </c>
      <c r="V358" s="37" t="s">
        <v>89</v>
      </c>
      <c r="W358" s="37" t="s">
        <v>122</v>
      </c>
      <c r="X358" s="37" t="s">
        <v>136</v>
      </c>
      <c r="Y358" s="37"/>
      <c r="Z358" s="37"/>
      <c r="AA358" s="37">
        <v>0.2</v>
      </c>
    </row>
    <row r="359" spans="1:27" x14ac:dyDescent="0.25">
      <c r="A359" s="37" t="s">
        <v>1012</v>
      </c>
      <c r="B359" s="37" t="s">
        <v>380</v>
      </c>
      <c r="C359" s="37" t="s">
        <v>1018</v>
      </c>
      <c r="D359" s="37" t="s">
        <v>435</v>
      </c>
      <c r="E359" s="37" t="s">
        <v>81</v>
      </c>
      <c r="F359" s="37"/>
      <c r="G359" s="37"/>
      <c r="H359" s="37"/>
      <c r="I359" s="37"/>
      <c r="J359" s="37" t="s">
        <v>135</v>
      </c>
      <c r="K359" s="37" t="s">
        <v>89</v>
      </c>
      <c r="L359" s="37" t="s">
        <v>122</v>
      </c>
      <c r="M359" s="37" t="s">
        <v>136</v>
      </c>
      <c r="N359" s="37" t="s">
        <v>89</v>
      </c>
      <c r="O359" s="37" t="s">
        <v>122</v>
      </c>
      <c r="P359" s="37"/>
      <c r="Q359" s="37"/>
      <c r="R359" s="37"/>
      <c r="S359" s="37"/>
      <c r="T359" s="37"/>
      <c r="U359" s="37" t="s">
        <v>128</v>
      </c>
      <c r="V359" s="37" t="s">
        <v>89</v>
      </c>
      <c r="W359" s="37" t="s">
        <v>122</v>
      </c>
      <c r="X359" s="37"/>
      <c r="Y359" s="37"/>
      <c r="Z359" s="37"/>
      <c r="AA359" s="37">
        <v>0.2</v>
      </c>
    </row>
    <row r="360" spans="1:27" x14ac:dyDescent="0.25">
      <c r="A360" s="37" t="s">
        <v>1012</v>
      </c>
      <c r="B360" s="37" t="s">
        <v>362</v>
      </c>
      <c r="C360" s="37" t="s">
        <v>1019</v>
      </c>
      <c r="D360" s="37" t="s">
        <v>503</v>
      </c>
      <c r="E360" s="37" t="s">
        <v>81</v>
      </c>
      <c r="F360" s="37"/>
      <c r="G360" s="37" t="s">
        <v>365</v>
      </c>
      <c r="H360" s="37" t="s">
        <v>81</v>
      </c>
      <c r="I360" s="37" t="s">
        <v>148</v>
      </c>
      <c r="J360" s="37" t="s">
        <v>149</v>
      </c>
      <c r="K360" s="37" t="s">
        <v>81</v>
      </c>
      <c r="L360" s="37" t="s">
        <v>122</v>
      </c>
      <c r="M360" s="37" t="s">
        <v>470</v>
      </c>
      <c r="N360" s="37" t="s">
        <v>698</v>
      </c>
      <c r="O360" s="37" t="s">
        <v>122</v>
      </c>
      <c r="P360" s="37" t="s">
        <v>439</v>
      </c>
      <c r="Q360" s="37" t="s">
        <v>440</v>
      </c>
      <c r="R360" s="37" t="s">
        <v>441</v>
      </c>
      <c r="S360" s="37" t="s">
        <v>127</v>
      </c>
      <c r="T360" s="37" t="s">
        <v>175</v>
      </c>
      <c r="U360" s="37" t="s">
        <v>128</v>
      </c>
      <c r="V360" s="37" t="s">
        <v>698</v>
      </c>
      <c r="W360" s="37" t="s">
        <v>122</v>
      </c>
      <c r="X360" s="37"/>
      <c r="Y360" s="37"/>
      <c r="Z360" s="37"/>
      <c r="AA360" s="37">
        <v>0.2</v>
      </c>
    </row>
    <row r="361" spans="1:27" x14ac:dyDescent="0.25">
      <c r="A361" s="37" t="s">
        <v>1012</v>
      </c>
      <c r="B361" s="37" t="s">
        <v>115</v>
      </c>
      <c r="C361" s="37" t="s">
        <v>1020</v>
      </c>
      <c r="D361" s="37" t="s">
        <v>117</v>
      </c>
      <c r="E361" s="37" t="s">
        <v>81</v>
      </c>
      <c r="F361" s="37"/>
      <c r="G361" s="37" t="s">
        <v>119</v>
      </c>
      <c r="H361" s="37" t="s">
        <v>698</v>
      </c>
      <c r="I361" s="37" t="s">
        <v>1021</v>
      </c>
      <c r="J361" s="37" t="s">
        <v>121</v>
      </c>
      <c r="K361" s="37" t="s">
        <v>698</v>
      </c>
      <c r="L361" s="37" t="s">
        <v>122</v>
      </c>
      <c r="M361" s="37" t="s">
        <v>123</v>
      </c>
      <c r="N361" s="37" t="s">
        <v>698</v>
      </c>
      <c r="O361" s="37" t="s">
        <v>374</v>
      </c>
      <c r="P361" s="37"/>
      <c r="Q361" s="37"/>
      <c r="R361" s="37"/>
      <c r="S361" s="37"/>
      <c r="T361" s="37"/>
      <c r="U361" s="37" t="s">
        <v>128</v>
      </c>
      <c r="V361" s="37" t="s">
        <v>698</v>
      </c>
      <c r="W361" s="37" t="s">
        <v>122</v>
      </c>
      <c r="X361" s="37"/>
      <c r="Y361" s="37"/>
      <c r="Z361" s="37"/>
      <c r="AA361" s="37">
        <v>0.2</v>
      </c>
    </row>
    <row r="362" spans="1:27" x14ac:dyDescent="0.25">
      <c r="A362" s="37" t="s">
        <v>79</v>
      </c>
      <c r="B362" s="37" t="s">
        <v>115</v>
      </c>
      <c r="C362" s="37" t="s">
        <v>1022</v>
      </c>
      <c r="D362" s="37" t="s">
        <v>117</v>
      </c>
      <c r="E362" s="37" t="s">
        <v>81</v>
      </c>
      <c r="F362" s="37"/>
      <c r="G362" s="37" t="s">
        <v>119</v>
      </c>
      <c r="H362" s="37" t="s">
        <v>698</v>
      </c>
      <c r="I362" s="37" t="s">
        <v>1023</v>
      </c>
      <c r="J362" s="37" t="s">
        <v>121</v>
      </c>
      <c r="K362" s="37" t="s">
        <v>698</v>
      </c>
      <c r="L362" s="37" t="s">
        <v>122</v>
      </c>
      <c r="M362" s="37" t="s">
        <v>123</v>
      </c>
      <c r="N362" s="37" t="s">
        <v>698</v>
      </c>
      <c r="O362" s="37" t="s">
        <v>122</v>
      </c>
      <c r="P362" s="37"/>
      <c r="Q362" s="37"/>
      <c r="R362" s="37"/>
      <c r="S362" s="37"/>
      <c r="T362" s="37"/>
      <c r="U362" s="37" t="s">
        <v>128</v>
      </c>
      <c r="V362" s="37" t="s">
        <v>698</v>
      </c>
      <c r="W362" s="37" t="s">
        <v>122</v>
      </c>
      <c r="X362" s="37"/>
      <c r="Y362" s="37"/>
      <c r="Z362" s="37"/>
      <c r="AA362" s="37">
        <v>0.2</v>
      </c>
    </row>
    <row r="363" spans="1:27" x14ac:dyDescent="0.25">
      <c r="A363" s="37" t="s">
        <v>79</v>
      </c>
      <c r="B363" s="37" t="s">
        <v>130</v>
      </c>
      <c r="C363" s="37" t="s">
        <v>1024</v>
      </c>
      <c r="D363" s="37" t="s">
        <v>132</v>
      </c>
      <c r="E363" s="37" t="s">
        <v>81</v>
      </c>
      <c r="F363" s="37" t="s">
        <v>1025</v>
      </c>
      <c r="G363" s="37" t="s">
        <v>119</v>
      </c>
      <c r="H363" s="37" t="s">
        <v>698</v>
      </c>
      <c r="I363" s="37" t="s">
        <v>1026</v>
      </c>
      <c r="J363" s="37" t="s">
        <v>121</v>
      </c>
      <c r="K363" s="37" t="s">
        <v>84</v>
      </c>
      <c r="L363" s="37" t="s">
        <v>122</v>
      </c>
      <c r="M363" s="37" t="s">
        <v>136</v>
      </c>
      <c r="N363" s="37" t="s">
        <v>89</v>
      </c>
      <c r="O363" s="37" t="s">
        <v>122</v>
      </c>
      <c r="P363" s="37"/>
      <c r="Q363" s="37"/>
      <c r="R363" s="37"/>
      <c r="S363" s="37"/>
      <c r="T363" s="37"/>
      <c r="U363" s="37" t="s">
        <v>128</v>
      </c>
      <c r="V363" s="37" t="s">
        <v>89</v>
      </c>
      <c r="W363" s="37" t="s">
        <v>122</v>
      </c>
      <c r="X363" s="37" t="s">
        <v>136</v>
      </c>
      <c r="Y363" s="37"/>
      <c r="Z363" s="37"/>
      <c r="AA363" s="37">
        <v>0.2</v>
      </c>
    </row>
    <row r="364" spans="1:27" x14ac:dyDescent="0.25">
      <c r="A364" s="37" t="s">
        <v>79</v>
      </c>
      <c r="B364" s="37" t="s">
        <v>362</v>
      </c>
      <c r="C364" s="37" t="s">
        <v>1027</v>
      </c>
      <c r="D364" s="37" t="s">
        <v>503</v>
      </c>
      <c r="E364" s="37" t="s">
        <v>81</v>
      </c>
      <c r="F364" s="37" t="s">
        <v>1028</v>
      </c>
      <c r="G364" s="37" t="s">
        <v>365</v>
      </c>
      <c r="H364" s="37" t="s">
        <v>81</v>
      </c>
      <c r="I364" s="37" t="s">
        <v>1029</v>
      </c>
      <c r="J364" s="37" t="s">
        <v>149</v>
      </c>
      <c r="K364" s="37" t="s">
        <v>81</v>
      </c>
      <c r="L364" s="37" t="s">
        <v>122</v>
      </c>
      <c r="M364" s="37" t="s">
        <v>470</v>
      </c>
      <c r="N364" s="37" t="s">
        <v>698</v>
      </c>
      <c r="O364" s="37" t="s">
        <v>122</v>
      </c>
      <c r="P364" s="37"/>
      <c r="Q364" s="37"/>
      <c r="R364" s="37"/>
      <c r="S364" s="37"/>
      <c r="T364" s="37"/>
      <c r="U364" s="37" t="s">
        <v>128</v>
      </c>
      <c r="V364" s="37" t="s">
        <v>698</v>
      </c>
      <c r="W364" s="37" t="s">
        <v>122</v>
      </c>
      <c r="X364" s="37"/>
      <c r="Y364" s="37"/>
      <c r="Z364" s="37"/>
      <c r="AA364" s="37">
        <v>0.2</v>
      </c>
    </row>
    <row r="365" spans="1:27" x14ac:dyDescent="0.25">
      <c r="A365" s="37" t="s">
        <v>1030</v>
      </c>
      <c r="B365" s="37" t="s">
        <v>380</v>
      </c>
      <c r="C365" s="37" t="s">
        <v>1031</v>
      </c>
      <c r="D365" s="37" t="s">
        <v>435</v>
      </c>
      <c r="E365" s="37" t="s">
        <v>81</v>
      </c>
      <c r="F365" s="37"/>
      <c r="G365" s="37"/>
      <c r="H365" s="37"/>
      <c r="I365" s="37"/>
      <c r="J365" s="37" t="s">
        <v>135</v>
      </c>
      <c r="K365" s="37" t="s">
        <v>89</v>
      </c>
      <c r="L365" s="37" t="s">
        <v>122</v>
      </c>
      <c r="M365" s="37" t="s">
        <v>136</v>
      </c>
      <c r="N365" s="37" t="s">
        <v>89</v>
      </c>
      <c r="O365" s="37" t="s">
        <v>122</v>
      </c>
      <c r="P365" s="37"/>
      <c r="Q365" s="37"/>
      <c r="R365" s="37"/>
      <c r="S365" s="37"/>
      <c r="T365" s="37"/>
      <c r="U365" s="37" t="s">
        <v>128</v>
      </c>
      <c r="V365" s="37" t="s">
        <v>89</v>
      </c>
      <c r="W365" s="37" t="s">
        <v>122</v>
      </c>
      <c r="X365" s="37"/>
      <c r="Y365" s="37"/>
      <c r="Z365" s="37"/>
      <c r="AA365" s="37">
        <v>0.2</v>
      </c>
    </row>
    <row r="366" spans="1:27" x14ac:dyDescent="0.25">
      <c r="A366" s="37" t="s">
        <v>1032</v>
      </c>
      <c r="B366" s="37" t="s">
        <v>115</v>
      </c>
      <c r="C366" s="37" t="s">
        <v>1033</v>
      </c>
      <c r="D366" s="37" t="s">
        <v>117</v>
      </c>
      <c r="E366" s="37" t="s">
        <v>81</v>
      </c>
      <c r="F366" s="37"/>
      <c r="G366" s="37" t="s">
        <v>119</v>
      </c>
      <c r="H366" s="37" t="s">
        <v>698</v>
      </c>
      <c r="I366" s="37" t="s">
        <v>1034</v>
      </c>
      <c r="J366" s="37" t="s">
        <v>121</v>
      </c>
      <c r="K366" s="37" t="s">
        <v>698</v>
      </c>
      <c r="L366" s="37" t="s">
        <v>122</v>
      </c>
      <c r="M366" s="37" t="s">
        <v>123</v>
      </c>
      <c r="N366" s="37" t="s">
        <v>698</v>
      </c>
      <c r="O366" s="37" t="s">
        <v>122</v>
      </c>
      <c r="P366" s="37"/>
      <c r="Q366" s="37"/>
      <c r="R366" s="37"/>
      <c r="S366" s="37"/>
      <c r="T366" s="37"/>
      <c r="U366" s="37" t="s">
        <v>128</v>
      </c>
      <c r="V366" s="37" t="s">
        <v>698</v>
      </c>
      <c r="W366" s="37" t="s">
        <v>122</v>
      </c>
      <c r="X366" s="37"/>
      <c r="Y366" s="37"/>
      <c r="Z366" s="37"/>
      <c r="AA366" s="37">
        <v>0.2</v>
      </c>
    </row>
    <row r="367" spans="1:27" x14ac:dyDescent="0.25">
      <c r="A367" s="37" t="s">
        <v>1012</v>
      </c>
      <c r="B367" s="37" t="s">
        <v>1035</v>
      </c>
      <c r="C367" s="37" t="s">
        <v>1036</v>
      </c>
      <c r="D367" s="37" t="s">
        <v>178</v>
      </c>
      <c r="E367" s="37" t="s">
        <v>81</v>
      </c>
      <c r="F367" s="37" t="s">
        <v>1037</v>
      </c>
      <c r="G367" s="37" t="s">
        <v>119</v>
      </c>
      <c r="H367" s="37" t="s">
        <v>1010</v>
      </c>
      <c r="I367" s="37" t="s">
        <v>1038</v>
      </c>
      <c r="J367" s="37" t="s">
        <v>121</v>
      </c>
      <c r="K367" s="37" t="s">
        <v>89</v>
      </c>
      <c r="L367" s="37" t="s">
        <v>122</v>
      </c>
      <c r="M367" s="37" t="s">
        <v>136</v>
      </c>
      <c r="N367" s="37" t="s">
        <v>89</v>
      </c>
      <c r="O367" s="37" t="s">
        <v>122</v>
      </c>
      <c r="P367" s="37"/>
      <c r="Q367" s="37"/>
      <c r="R367" s="37"/>
      <c r="S367" s="37"/>
      <c r="T367" s="37"/>
      <c r="U367" s="37" t="s">
        <v>128</v>
      </c>
      <c r="V367" s="37" t="s">
        <v>89</v>
      </c>
      <c r="W367" s="37" t="s">
        <v>122</v>
      </c>
      <c r="X367" s="37"/>
      <c r="Y367" s="37"/>
      <c r="Z367" s="37"/>
      <c r="AA367" s="37">
        <v>0.2</v>
      </c>
    </row>
    <row r="368" spans="1:27" x14ac:dyDescent="0.25">
      <c r="A368" s="37" t="s">
        <v>1039</v>
      </c>
      <c r="B368" s="37" t="s">
        <v>115</v>
      </c>
      <c r="C368" s="37" t="s">
        <v>1040</v>
      </c>
      <c r="D368" s="37" t="s">
        <v>117</v>
      </c>
      <c r="E368" s="37" t="s">
        <v>81</v>
      </c>
      <c r="F368" s="37"/>
      <c r="G368" s="37" t="s">
        <v>119</v>
      </c>
      <c r="H368" s="37" t="s">
        <v>698</v>
      </c>
      <c r="I368" s="37" t="s">
        <v>1041</v>
      </c>
      <c r="J368" s="37" t="s">
        <v>121</v>
      </c>
      <c r="K368" s="37" t="s">
        <v>698</v>
      </c>
      <c r="L368" s="37" t="s">
        <v>122</v>
      </c>
      <c r="M368" s="37" t="s">
        <v>123</v>
      </c>
      <c r="N368" s="37" t="s">
        <v>698</v>
      </c>
      <c r="O368" s="37" t="s">
        <v>122</v>
      </c>
      <c r="P368" s="37"/>
      <c r="Q368" s="37"/>
      <c r="R368" s="37"/>
      <c r="S368" s="37"/>
      <c r="T368" s="37"/>
      <c r="U368" s="37" t="s">
        <v>128</v>
      </c>
      <c r="V368" s="37" t="s">
        <v>698</v>
      </c>
      <c r="W368" s="37" t="s">
        <v>122</v>
      </c>
      <c r="X368" s="37"/>
      <c r="Y368" s="37"/>
      <c r="Z368" s="37"/>
      <c r="AA368" s="37">
        <v>0.2</v>
      </c>
    </row>
    <row r="369" spans="1:27" x14ac:dyDescent="0.25">
      <c r="A369" s="37" t="s">
        <v>1012</v>
      </c>
      <c r="B369" s="37" t="s">
        <v>56</v>
      </c>
      <c r="C369" s="37" t="s">
        <v>1042</v>
      </c>
      <c r="D369" s="37" t="s">
        <v>214</v>
      </c>
      <c r="E369" s="37" t="s">
        <v>81</v>
      </c>
      <c r="F369" s="37"/>
      <c r="G369" s="37" t="s">
        <v>119</v>
      </c>
      <c r="H369" s="37" t="s">
        <v>84</v>
      </c>
      <c r="I369" s="37" t="s">
        <v>624</v>
      </c>
      <c r="J369" s="37" t="s">
        <v>470</v>
      </c>
      <c r="K369" s="37" t="s">
        <v>767</v>
      </c>
      <c r="L369" s="37" t="s">
        <v>122</v>
      </c>
      <c r="M369" s="37" t="s">
        <v>470</v>
      </c>
      <c r="N369" s="37" t="s">
        <v>767</v>
      </c>
      <c r="O369" s="37" t="s">
        <v>122</v>
      </c>
      <c r="P369" s="37"/>
      <c r="Q369" s="37"/>
      <c r="R369" s="37"/>
      <c r="S369" s="37"/>
      <c r="T369" s="37"/>
      <c r="U369" s="37" t="s">
        <v>470</v>
      </c>
      <c r="V369" s="37" t="s">
        <v>767</v>
      </c>
      <c r="W369" s="37" t="s">
        <v>122</v>
      </c>
      <c r="X369" s="37" t="s">
        <v>470</v>
      </c>
      <c r="Y369" s="37" t="s">
        <v>767</v>
      </c>
      <c r="Z369" s="37"/>
      <c r="AA369" s="37">
        <v>0.2</v>
      </c>
    </row>
    <row r="370" spans="1:27" x14ac:dyDescent="0.25">
      <c r="A370" s="37" t="s">
        <v>1043</v>
      </c>
      <c r="B370" s="37" t="s">
        <v>115</v>
      </c>
      <c r="C370" s="37" t="s">
        <v>1013</v>
      </c>
      <c r="D370" s="37" t="s">
        <v>135</v>
      </c>
      <c r="E370" s="37" t="s">
        <v>81</v>
      </c>
      <c r="F370" s="37"/>
      <c r="G370" s="37" t="s">
        <v>119</v>
      </c>
      <c r="H370" s="37" t="s">
        <v>81</v>
      </c>
      <c r="I370" s="37" t="s">
        <v>1044</v>
      </c>
      <c r="J370" s="37" t="s">
        <v>149</v>
      </c>
      <c r="K370" s="37" t="s">
        <v>81</v>
      </c>
      <c r="L370" s="37" t="s">
        <v>122</v>
      </c>
      <c r="M370" s="37" t="s">
        <v>470</v>
      </c>
      <c r="N370" s="37" t="s">
        <v>698</v>
      </c>
      <c r="O370" s="37" t="s">
        <v>122</v>
      </c>
      <c r="P370" s="37"/>
      <c r="Q370" s="37"/>
      <c r="R370" s="37"/>
      <c r="S370" s="37"/>
      <c r="T370" s="37"/>
      <c r="U370" s="37" t="s">
        <v>128</v>
      </c>
      <c r="V370" s="37" t="s">
        <v>698</v>
      </c>
      <c r="W370" s="37" t="s">
        <v>122</v>
      </c>
      <c r="X370" s="37"/>
      <c r="Y370" s="37"/>
      <c r="Z370" s="37"/>
      <c r="AA370" s="37">
        <v>0.2</v>
      </c>
    </row>
    <row r="371" spans="1:27" x14ac:dyDescent="0.25">
      <c r="A371" s="37" t="s">
        <v>1012</v>
      </c>
      <c r="B371" s="37" t="s">
        <v>242</v>
      </c>
      <c r="C371" s="37" t="s">
        <v>1013</v>
      </c>
      <c r="D371" s="37" t="s">
        <v>135</v>
      </c>
      <c r="E371" s="37" t="s">
        <v>81</v>
      </c>
      <c r="F371" s="37"/>
      <c r="G371" s="37" t="s">
        <v>119</v>
      </c>
      <c r="H371" s="37" t="s">
        <v>81</v>
      </c>
      <c r="I371" s="37" t="s">
        <v>1044</v>
      </c>
      <c r="J371" s="37" t="s">
        <v>149</v>
      </c>
      <c r="K371" s="37" t="s">
        <v>81</v>
      </c>
      <c r="L371" s="37" t="s">
        <v>122</v>
      </c>
      <c r="M371" s="37" t="s">
        <v>470</v>
      </c>
      <c r="N371" s="37" t="s">
        <v>698</v>
      </c>
      <c r="O371" s="37" t="s">
        <v>122</v>
      </c>
      <c r="P371" s="37"/>
      <c r="Q371" s="37"/>
      <c r="R371" s="37"/>
      <c r="S371" s="37"/>
      <c r="T371" s="37"/>
      <c r="U371" s="37" t="s">
        <v>128</v>
      </c>
      <c r="V371" s="37" t="s">
        <v>698</v>
      </c>
      <c r="W371" s="37" t="s">
        <v>122</v>
      </c>
      <c r="X371" s="37"/>
      <c r="Y371" s="37"/>
      <c r="Z371" s="37"/>
      <c r="AA371" s="37">
        <v>0.2</v>
      </c>
    </row>
    <row r="372" spans="1:27" x14ac:dyDescent="0.25">
      <c r="A372" s="37" t="s">
        <v>1045</v>
      </c>
      <c r="B372" s="37" t="s">
        <v>130</v>
      </c>
      <c r="C372" s="37" t="s">
        <v>1046</v>
      </c>
      <c r="D372" s="37" t="s">
        <v>146</v>
      </c>
      <c r="E372" s="37" t="s">
        <v>81</v>
      </c>
      <c r="F372" s="37"/>
      <c r="G372" s="37" t="s">
        <v>147</v>
      </c>
      <c r="H372" s="37" t="s">
        <v>84</v>
      </c>
      <c r="I372" s="37" t="s">
        <v>148</v>
      </c>
      <c r="J372" s="37" t="s">
        <v>149</v>
      </c>
      <c r="K372" s="37" t="s">
        <v>84</v>
      </c>
      <c r="L372" s="37" t="s">
        <v>122</v>
      </c>
      <c r="M372" s="37" t="s">
        <v>136</v>
      </c>
      <c r="N372" s="37" t="s">
        <v>89</v>
      </c>
      <c r="O372" s="37" t="s">
        <v>122</v>
      </c>
      <c r="P372" s="37"/>
      <c r="Q372" s="37"/>
      <c r="R372" s="37"/>
      <c r="S372" s="37"/>
      <c r="T372" s="37"/>
      <c r="U372" s="37" t="s">
        <v>128</v>
      </c>
      <c r="V372" s="37" t="s">
        <v>89</v>
      </c>
      <c r="W372" s="37" t="s">
        <v>122</v>
      </c>
      <c r="X372" s="37" t="s">
        <v>136</v>
      </c>
      <c r="Y372" s="37"/>
      <c r="Z372" s="37"/>
      <c r="AA372" s="37">
        <v>0.2</v>
      </c>
    </row>
    <row r="373" spans="1:27" x14ac:dyDescent="0.25">
      <c r="A373" s="37" t="s">
        <v>1030</v>
      </c>
      <c r="B373" s="37" t="s">
        <v>130</v>
      </c>
      <c r="C373" s="37" t="s">
        <v>1047</v>
      </c>
      <c r="D373" s="37" t="s">
        <v>146</v>
      </c>
      <c r="E373" s="37" t="s">
        <v>81</v>
      </c>
      <c r="F373" s="37"/>
      <c r="G373" s="37" t="s">
        <v>147</v>
      </c>
      <c r="H373" s="37" t="s">
        <v>84</v>
      </c>
      <c r="I373" s="37" t="s">
        <v>148</v>
      </c>
      <c r="J373" s="37" t="s">
        <v>149</v>
      </c>
      <c r="K373" s="37" t="s">
        <v>84</v>
      </c>
      <c r="L373" s="37" t="s">
        <v>122</v>
      </c>
      <c r="M373" s="37" t="s">
        <v>136</v>
      </c>
      <c r="N373" s="37" t="s">
        <v>89</v>
      </c>
      <c r="O373" s="37" t="s">
        <v>122</v>
      </c>
      <c r="P373" s="37"/>
      <c r="Q373" s="37"/>
      <c r="R373" s="37"/>
      <c r="S373" s="37"/>
      <c r="T373" s="37"/>
      <c r="U373" s="37" t="s">
        <v>128</v>
      </c>
      <c r="V373" s="37" t="s">
        <v>89</v>
      </c>
      <c r="W373" s="37" t="s">
        <v>122</v>
      </c>
      <c r="X373" s="37" t="s">
        <v>136</v>
      </c>
      <c r="Y373" s="37"/>
      <c r="Z373" s="37"/>
      <c r="AA373" s="37">
        <v>0.2</v>
      </c>
    </row>
    <row r="374" spans="1:27" x14ac:dyDescent="0.25">
      <c r="A374" s="37" t="s">
        <v>1048</v>
      </c>
      <c r="B374" s="37" t="s">
        <v>130</v>
      </c>
      <c r="C374" s="37" t="s">
        <v>1049</v>
      </c>
      <c r="D374" s="37" t="s">
        <v>146</v>
      </c>
      <c r="E374" s="37" t="s">
        <v>698</v>
      </c>
      <c r="F374" s="37"/>
      <c r="G374" s="37" t="s">
        <v>147</v>
      </c>
      <c r="H374" s="37" t="s">
        <v>84</v>
      </c>
      <c r="I374" s="37" t="s">
        <v>148</v>
      </c>
      <c r="J374" s="37" t="s">
        <v>149</v>
      </c>
      <c r="K374" s="37" t="s">
        <v>84</v>
      </c>
      <c r="L374" s="37" t="s">
        <v>122</v>
      </c>
      <c r="M374" s="37" t="s">
        <v>136</v>
      </c>
      <c r="N374" s="37" t="s">
        <v>89</v>
      </c>
      <c r="O374" s="37" t="s">
        <v>122</v>
      </c>
      <c r="P374" s="37"/>
      <c r="Q374" s="37"/>
      <c r="R374" s="37"/>
      <c r="S374" s="37"/>
      <c r="T374" s="37"/>
      <c r="U374" s="37" t="s">
        <v>128</v>
      </c>
      <c r="V374" s="37" t="s">
        <v>89</v>
      </c>
      <c r="W374" s="37" t="s">
        <v>122</v>
      </c>
      <c r="X374" s="37"/>
      <c r="Y374" s="37"/>
      <c r="Z374" s="37"/>
      <c r="AA374" s="37">
        <v>0.2</v>
      </c>
    </row>
    <row r="375" spans="1:27" x14ac:dyDescent="0.25">
      <c r="A375" s="37" t="s">
        <v>1048</v>
      </c>
      <c r="B375" s="37" t="s">
        <v>176</v>
      </c>
      <c r="C375" s="37" t="s">
        <v>1050</v>
      </c>
      <c r="D375" s="37" t="s">
        <v>178</v>
      </c>
      <c r="E375" s="37" t="s">
        <v>698</v>
      </c>
      <c r="F375" s="37"/>
      <c r="G375" s="37" t="s">
        <v>119</v>
      </c>
      <c r="H375" s="37" t="s">
        <v>1010</v>
      </c>
      <c r="I375" s="37" t="s">
        <v>624</v>
      </c>
      <c r="J375" s="37" t="s">
        <v>121</v>
      </c>
      <c r="K375" s="37" t="s">
        <v>89</v>
      </c>
      <c r="L375" s="37" t="s">
        <v>122</v>
      </c>
      <c r="M375" s="37" t="s">
        <v>136</v>
      </c>
      <c r="N375" s="37" t="s">
        <v>89</v>
      </c>
      <c r="O375" s="37" t="s">
        <v>122</v>
      </c>
      <c r="P375" s="37" t="s">
        <v>181</v>
      </c>
      <c r="Q375" s="37"/>
      <c r="R375" s="37"/>
      <c r="S375" s="37"/>
      <c r="T375" s="37"/>
      <c r="U375" s="37" t="s">
        <v>128</v>
      </c>
      <c r="V375" s="37" t="s">
        <v>89</v>
      </c>
      <c r="W375" s="37" t="s">
        <v>122</v>
      </c>
      <c r="X375" s="37" t="s">
        <v>136</v>
      </c>
      <c r="Y375" s="37" t="s">
        <v>89</v>
      </c>
      <c r="Z375" s="37"/>
      <c r="AA375" s="37">
        <v>0.2</v>
      </c>
    </row>
    <row r="376" spans="1:27" x14ac:dyDescent="0.25">
      <c r="A376" s="37" t="s">
        <v>1048</v>
      </c>
      <c r="B376" s="37" t="s">
        <v>259</v>
      </c>
      <c r="C376" s="37" t="s">
        <v>1051</v>
      </c>
      <c r="D376" s="37" t="s">
        <v>457</v>
      </c>
      <c r="E376" s="37" t="s">
        <v>698</v>
      </c>
      <c r="F376" s="37" t="s">
        <v>1052</v>
      </c>
      <c r="G376" s="37" t="s">
        <v>119</v>
      </c>
      <c r="H376" s="37" t="s">
        <v>698</v>
      </c>
      <c r="I376" s="37" t="s">
        <v>1053</v>
      </c>
      <c r="J376" s="37" t="s">
        <v>135</v>
      </c>
      <c r="K376" s="37" t="s">
        <v>698</v>
      </c>
      <c r="L376" s="37" t="s">
        <v>122</v>
      </c>
      <c r="M376" s="37" t="s">
        <v>470</v>
      </c>
      <c r="N376" s="37" t="s">
        <v>698</v>
      </c>
      <c r="O376" s="37" t="s">
        <v>122</v>
      </c>
      <c r="P376" s="37"/>
      <c r="Q376" s="37"/>
      <c r="R376" s="37"/>
      <c r="S376" s="37"/>
      <c r="T376" s="37"/>
      <c r="U376" s="37" t="s">
        <v>128</v>
      </c>
      <c r="V376" s="37" t="s">
        <v>698</v>
      </c>
      <c r="W376" s="37" t="s">
        <v>122</v>
      </c>
      <c r="X376" s="37"/>
      <c r="Y376" s="37"/>
      <c r="Z376" s="37"/>
      <c r="AA376" s="37">
        <v>0.2</v>
      </c>
    </row>
    <row r="377" spans="1:27" x14ac:dyDescent="0.25">
      <c r="A377" s="37" t="s">
        <v>1054</v>
      </c>
      <c r="B377" s="37" t="s">
        <v>380</v>
      </c>
      <c r="C377" s="37" t="s">
        <v>1055</v>
      </c>
      <c r="D377" s="37" t="s">
        <v>435</v>
      </c>
      <c r="E377" s="37" t="s">
        <v>698</v>
      </c>
      <c r="F377" s="37"/>
      <c r="G377" s="37"/>
      <c r="H377" s="37"/>
      <c r="I377" s="37"/>
      <c r="J377" s="37" t="s">
        <v>135</v>
      </c>
      <c r="K377" s="37" t="s">
        <v>89</v>
      </c>
      <c r="L377" s="37" t="s">
        <v>122</v>
      </c>
      <c r="M377" s="37" t="s">
        <v>136</v>
      </c>
      <c r="N377" s="37" t="s">
        <v>89</v>
      </c>
      <c r="O377" s="37" t="s">
        <v>122</v>
      </c>
      <c r="P377" s="37"/>
      <c r="Q377" s="37"/>
      <c r="R377" s="37"/>
      <c r="S377" s="37"/>
      <c r="T377" s="37"/>
      <c r="U377" s="37" t="s">
        <v>128</v>
      </c>
      <c r="V377" s="37" t="s">
        <v>89</v>
      </c>
      <c r="W377" s="37" t="s">
        <v>122</v>
      </c>
      <c r="X377" s="37"/>
      <c r="Y377" s="37"/>
      <c r="Z377" s="37"/>
      <c r="AA377" s="37">
        <v>0.2</v>
      </c>
    </row>
    <row r="378" spans="1:27" x14ac:dyDescent="0.25">
      <c r="A378" s="37" t="s">
        <v>1054</v>
      </c>
      <c r="B378" s="37" t="s">
        <v>130</v>
      </c>
      <c r="C378" s="37" t="s">
        <v>1056</v>
      </c>
      <c r="D378" s="37" t="s">
        <v>132</v>
      </c>
      <c r="E378" s="37" t="s">
        <v>698</v>
      </c>
      <c r="F378" s="37"/>
      <c r="G378" s="37" t="s">
        <v>119</v>
      </c>
      <c r="H378" s="37" t="s">
        <v>698</v>
      </c>
      <c r="I378" s="37" t="s">
        <v>1057</v>
      </c>
      <c r="J378" s="37" t="s">
        <v>121</v>
      </c>
      <c r="K378" s="37" t="s">
        <v>84</v>
      </c>
      <c r="L378" s="37" t="s">
        <v>122</v>
      </c>
      <c r="M378" s="37" t="s">
        <v>136</v>
      </c>
      <c r="N378" s="37" t="s">
        <v>89</v>
      </c>
      <c r="O378" s="37" t="s">
        <v>122</v>
      </c>
      <c r="P378" s="37"/>
      <c r="Q378" s="37"/>
      <c r="R378" s="37"/>
      <c r="S378" s="37"/>
      <c r="T378" s="37"/>
      <c r="U378" s="37" t="s">
        <v>128</v>
      </c>
      <c r="V378" s="37" t="s">
        <v>89</v>
      </c>
      <c r="W378" s="37" t="s">
        <v>122</v>
      </c>
      <c r="X378" s="37" t="s">
        <v>136</v>
      </c>
      <c r="Y378" s="37"/>
      <c r="Z378" s="37"/>
      <c r="AA378" s="37">
        <v>0.2</v>
      </c>
    </row>
    <row r="379" spans="1:27" x14ac:dyDescent="0.25">
      <c r="A379" s="37" t="s">
        <v>1048</v>
      </c>
      <c r="B379" s="37" t="s">
        <v>1035</v>
      </c>
      <c r="C379" s="37" t="s">
        <v>1058</v>
      </c>
      <c r="D379" s="37" t="s">
        <v>178</v>
      </c>
      <c r="E379" s="37" t="s">
        <v>698</v>
      </c>
      <c r="F379" s="37"/>
      <c r="G379" s="37" t="s">
        <v>119</v>
      </c>
      <c r="H379" s="37" t="s">
        <v>1010</v>
      </c>
      <c r="I379" s="37" t="s">
        <v>1059</v>
      </c>
      <c r="J379" s="37" t="s">
        <v>121</v>
      </c>
      <c r="K379" s="37" t="s">
        <v>89</v>
      </c>
      <c r="L379" s="37" t="s">
        <v>122</v>
      </c>
      <c r="M379" s="37" t="s">
        <v>136</v>
      </c>
      <c r="N379" s="37" t="s">
        <v>89</v>
      </c>
      <c r="O379" s="37" t="s">
        <v>122</v>
      </c>
      <c r="P379" s="37"/>
      <c r="Q379" s="37"/>
      <c r="R379" s="37"/>
      <c r="S379" s="37"/>
      <c r="T379" s="37"/>
      <c r="U379" s="37" t="s">
        <v>128</v>
      </c>
      <c r="V379" s="37" t="s">
        <v>89</v>
      </c>
      <c r="W379" s="37" t="s">
        <v>122</v>
      </c>
      <c r="X379" s="37"/>
      <c r="Y379" s="37"/>
      <c r="Z379" s="37"/>
      <c r="AA379" s="37">
        <v>0.2</v>
      </c>
    </row>
    <row r="380" spans="1:27" x14ac:dyDescent="0.25">
      <c r="A380" s="37" t="s">
        <v>1060</v>
      </c>
      <c r="B380" s="37" t="s">
        <v>130</v>
      </c>
      <c r="C380" s="37" t="s">
        <v>1061</v>
      </c>
      <c r="D380" s="37" t="s">
        <v>132</v>
      </c>
      <c r="E380" s="37" t="s">
        <v>698</v>
      </c>
      <c r="F380" s="37"/>
      <c r="G380" s="37" t="s">
        <v>119</v>
      </c>
      <c r="H380" s="37" t="s">
        <v>84</v>
      </c>
      <c r="I380" s="37" t="s">
        <v>1062</v>
      </c>
      <c r="J380" s="37" t="s">
        <v>121</v>
      </c>
      <c r="K380" s="37" t="s">
        <v>84</v>
      </c>
      <c r="L380" s="37" t="s">
        <v>122</v>
      </c>
      <c r="M380" s="37" t="s">
        <v>123</v>
      </c>
      <c r="N380" s="37" t="s">
        <v>84</v>
      </c>
      <c r="O380" s="37" t="s">
        <v>122</v>
      </c>
      <c r="P380" s="37"/>
      <c r="Q380" s="37"/>
      <c r="R380" s="37"/>
      <c r="S380" s="37"/>
      <c r="T380" s="37"/>
      <c r="U380" s="37" t="s">
        <v>128</v>
      </c>
      <c r="V380" s="37" t="s">
        <v>84</v>
      </c>
      <c r="W380" s="37" t="s">
        <v>122</v>
      </c>
      <c r="X380" s="37"/>
      <c r="Y380" s="37"/>
      <c r="Z380" s="37"/>
      <c r="AA380" s="37">
        <v>0.2</v>
      </c>
    </row>
    <row r="381" spans="1:27" x14ac:dyDescent="0.25">
      <c r="A381" s="37" t="s">
        <v>1063</v>
      </c>
      <c r="B381" s="37" t="s">
        <v>331</v>
      </c>
      <c r="C381" s="37" t="s">
        <v>1064</v>
      </c>
      <c r="D381" s="37" t="s">
        <v>457</v>
      </c>
      <c r="E381" s="37" t="s">
        <v>1010</v>
      </c>
      <c r="F381" s="37"/>
      <c r="G381" s="37" t="s">
        <v>119</v>
      </c>
      <c r="H381" s="37" t="s">
        <v>89</v>
      </c>
      <c r="I381" s="37" t="s">
        <v>1065</v>
      </c>
      <c r="J381" s="37" t="s">
        <v>135</v>
      </c>
      <c r="K381" s="37" t="s">
        <v>89</v>
      </c>
      <c r="L381" s="37" t="s">
        <v>122</v>
      </c>
      <c r="M381" s="37" t="s">
        <v>136</v>
      </c>
      <c r="N381" s="37" t="s">
        <v>89</v>
      </c>
      <c r="O381" s="37" t="s">
        <v>122</v>
      </c>
      <c r="P381" s="37"/>
      <c r="Q381" s="37"/>
      <c r="R381" s="37"/>
      <c r="S381" s="37"/>
      <c r="T381" s="37"/>
      <c r="U381" s="37" t="s">
        <v>128</v>
      </c>
      <c r="V381" s="37" t="s">
        <v>89</v>
      </c>
      <c r="W381" s="37" t="s">
        <v>122</v>
      </c>
      <c r="X381" s="37"/>
      <c r="Y381" s="37"/>
      <c r="Z381" s="37"/>
      <c r="AA381" s="37">
        <v>0.2</v>
      </c>
    </row>
    <row r="382" spans="1:27" x14ac:dyDescent="0.25">
      <c r="A382" s="37" t="s">
        <v>1063</v>
      </c>
      <c r="B382" s="37" t="s">
        <v>167</v>
      </c>
      <c r="C382" s="37" t="s">
        <v>1066</v>
      </c>
      <c r="D382" s="37" t="s">
        <v>214</v>
      </c>
      <c r="E382" s="37" t="s">
        <v>1010</v>
      </c>
      <c r="F382" s="37"/>
      <c r="G382" s="37" t="s">
        <v>119</v>
      </c>
      <c r="H382" s="37" t="s">
        <v>84</v>
      </c>
      <c r="I382" s="37" t="s">
        <v>1067</v>
      </c>
      <c r="J382" s="37" t="s">
        <v>470</v>
      </c>
      <c r="K382" s="37" t="s">
        <v>767</v>
      </c>
      <c r="L382" s="37" t="s">
        <v>122</v>
      </c>
      <c r="M382" s="37" t="s">
        <v>470</v>
      </c>
      <c r="N382" s="37" t="s">
        <v>767</v>
      </c>
      <c r="O382" s="37" t="s">
        <v>122</v>
      </c>
      <c r="P382" s="37" t="s">
        <v>1068</v>
      </c>
      <c r="Q382" s="37" t="s">
        <v>174</v>
      </c>
      <c r="R382" s="37" t="s">
        <v>89</v>
      </c>
      <c r="S382" s="37" t="s">
        <v>127</v>
      </c>
      <c r="T382" s="37" t="s">
        <v>127</v>
      </c>
      <c r="U382" s="37" t="s">
        <v>470</v>
      </c>
      <c r="V382" s="37" t="s">
        <v>767</v>
      </c>
      <c r="W382" s="37" t="s">
        <v>122</v>
      </c>
      <c r="X382" s="37" t="s">
        <v>470</v>
      </c>
      <c r="Y382" s="37" t="s">
        <v>767</v>
      </c>
      <c r="Z382" s="37"/>
      <c r="AA382" s="37">
        <v>0.2</v>
      </c>
    </row>
    <row r="383" spans="1:27" x14ac:dyDescent="0.25">
      <c r="A383" s="37" t="s">
        <v>1063</v>
      </c>
      <c r="B383" s="37" t="s">
        <v>242</v>
      </c>
      <c r="C383" s="37" t="s">
        <v>1069</v>
      </c>
      <c r="D383" s="37" t="s">
        <v>178</v>
      </c>
      <c r="E383" s="37" t="s">
        <v>1010</v>
      </c>
      <c r="F383" s="37"/>
      <c r="G383" s="37" t="s">
        <v>119</v>
      </c>
      <c r="H383" s="37" t="s">
        <v>1010</v>
      </c>
      <c r="I383" s="37" t="s">
        <v>1070</v>
      </c>
      <c r="J383" s="37" t="s">
        <v>121</v>
      </c>
      <c r="K383" s="37" t="s">
        <v>89</v>
      </c>
      <c r="L383" s="37" t="s">
        <v>122</v>
      </c>
      <c r="M383" s="37" t="s">
        <v>136</v>
      </c>
      <c r="N383" s="37" t="s">
        <v>89</v>
      </c>
      <c r="O383" s="37" t="s">
        <v>122</v>
      </c>
      <c r="P383" s="37"/>
      <c r="Q383" s="37"/>
      <c r="R383" s="37"/>
      <c r="S383" s="37"/>
      <c r="T383" s="37"/>
      <c r="U383" s="37" t="s">
        <v>128</v>
      </c>
      <c r="V383" s="37" t="s">
        <v>89</v>
      </c>
      <c r="W383" s="37" t="s">
        <v>122</v>
      </c>
      <c r="X383" s="37"/>
      <c r="Y383" s="37"/>
      <c r="Z383" s="37"/>
      <c r="AA383" s="37">
        <v>0.2</v>
      </c>
    </row>
    <row r="384" spans="1:27" x14ac:dyDescent="0.25">
      <c r="A384" s="37" t="s">
        <v>1063</v>
      </c>
      <c r="B384" s="37" t="s">
        <v>380</v>
      </c>
      <c r="C384" s="37" t="s">
        <v>1071</v>
      </c>
      <c r="D384" s="37" t="s">
        <v>435</v>
      </c>
      <c r="E384" s="37" t="s">
        <v>1010</v>
      </c>
      <c r="F384" s="37"/>
      <c r="G384" s="37"/>
      <c r="H384" s="37"/>
      <c r="I384" s="37"/>
      <c r="J384" s="37" t="s">
        <v>135</v>
      </c>
      <c r="K384" s="37" t="s">
        <v>89</v>
      </c>
      <c r="L384" s="37" t="s">
        <v>122</v>
      </c>
      <c r="M384" s="37" t="s">
        <v>136</v>
      </c>
      <c r="N384" s="37" t="s">
        <v>89</v>
      </c>
      <c r="O384" s="37" t="s">
        <v>122</v>
      </c>
      <c r="P384" s="37"/>
      <c r="Q384" s="37"/>
      <c r="R384" s="37"/>
      <c r="S384" s="37"/>
      <c r="T384" s="37"/>
      <c r="U384" s="37" t="s">
        <v>128</v>
      </c>
      <c r="V384" s="37" t="s">
        <v>89</v>
      </c>
      <c r="W384" s="37" t="s">
        <v>122</v>
      </c>
      <c r="X384" s="37"/>
      <c r="Y384" s="37"/>
      <c r="Z384" s="37"/>
      <c r="AA384" s="37">
        <v>0.2</v>
      </c>
    </row>
    <row r="385" spans="1:27" x14ac:dyDescent="0.25">
      <c r="A385" s="37" t="s">
        <v>1072</v>
      </c>
      <c r="B385" s="37" t="s">
        <v>380</v>
      </c>
      <c r="C385" s="37" t="s">
        <v>1073</v>
      </c>
      <c r="D385" s="37" t="s">
        <v>435</v>
      </c>
      <c r="E385" s="37" t="s">
        <v>1010</v>
      </c>
      <c r="F385" s="37"/>
      <c r="G385" s="37"/>
      <c r="H385" s="37"/>
      <c r="I385" s="37"/>
      <c r="J385" s="37" t="s">
        <v>135</v>
      </c>
      <c r="K385" s="37" t="s">
        <v>89</v>
      </c>
      <c r="L385" s="37" t="s">
        <v>122</v>
      </c>
      <c r="M385" s="37" t="s">
        <v>136</v>
      </c>
      <c r="N385" s="37" t="s">
        <v>89</v>
      </c>
      <c r="O385" s="37" t="s">
        <v>374</v>
      </c>
      <c r="P385" s="37"/>
      <c r="Q385" s="37"/>
      <c r="R385" s="37"/>
      <c r="S385" s="37"/>
      <c r="T385" s="37"/>
      <c r="U385" s="37" t="s">
        <v>128</v>
      </c>
      <c r="V385" s="37" t="s">
        <v>89</v>
      </c>
      <c r="W385" s="37" t="s">
        <v>122</v>
      </c>
      <c r="X385" s="37"/>
      <c r="Y385" s="37"/>
      <c r="Z385" s="37"/>
      <c r="AA385" s="37">
        <v>0.2</v>
      </c>
    </row>
    <row r="386" spans="1:27" x14ac:dyDescent="0.25">
      <c r="A386" s="37" t="s">
        <v>1063</v>
      </c>
      <c r="B386" s="37" t="s">
        <v>130</v>
      </c>
      <c r="C386" s="37" t="s">
        <v>1074</v>
      </c>
      <c r="D386" s="37" t="s">
        <v>146</v>
      </c>
      <c r="E386" s="37" t="s">
        <v>1010</v>
      </c>
      <c r="F386" s="37"/>
      <c r="G386" s="37" t="s">
        <v>147</v>
      </c>
      <c r="H386" s="37" t="s">
        <v>84</v>
      </c>
      <c r="I386" s="37" t="s">
        <v>148</v>
      </c>
      <c r="J386" s="37" t="s">
        <v>149</v>
      </c>
      <c r="K386" s="37" t="s">
        <v>84</v>
      </c>
      <c r="L386" s="37" t="s">
        <v>122</v>
      </c>
      <c r="M386" s="37" t="s">
        <v>136</v>
      </c>
      <c r="N386" s="37" t="s">
        <v>89</v>
      </c>
      <c r="O386" s="37" t="s">
        <v>122</v>
      </c>
      <c r="P386" s="37"/>
      <c r="Q386" s="37"/>
      <c r="R386" s="37"/>
      <c r="S386" s="37"/>
      <c r="T386" s="37"/>
      <c r="U386" s="37" t="s">
        <v>128</v>
      </c>
      <c r="V386" s="37" t="s">
        <v>89</v>
      </c>
      <c r="W386" s="37" t="s">
        <v>122</v>
      </c>
      <c r="X386" s="37" t="s">
        <v>136</v>
      </c>
      <c r="Y386" s="37"/>
      <c r="Z386" s="37"/>
      <c r="AA386" s="37">
        <v>0.2</v>
      </c>
    </row>
    <row r="387" spans="1:27" x14ac:dyDescent="0.25">
      <c r="A387" s="37" t="s">
        <v>1075</v>
      </c>
      <c r="B387" s="37" t="s">
        <v>1035</v>
      </c>
      <c r="C387" s="37" t="s">
        <v>1076</v>
      </c>
      <c r="D387" s="37" t="s">
        <v>457</v>
      </c>
      <c r="E387" s="37" t="s">
        <v>84</v>
      </c>
      <c r="F387" s="37"/>
      <c r="G387" s="37" t="s">
        <v>119</v>
      </c>
      <c r="H387" s="37" t="s">
        <v>89</v>
      </c>
      <c r="I387" s="37" t="s">
        <v>1077</v>
      </c>
      <c r="J387" s="37" t="s">
        <v>135</v>
      </c>
      <c r="K387" s="37" t="s">
        <v>89</v>
      </c>
      <c r="L387" s="37" t="s">
        <v>122</v>
      </c>
      <c r="M387" s="37" t="s">
        <v>136</v>
      </c>
      <c r="N387" s="37" t="s">
        <v>89</v>
      </c>
      <c r="O387" s="37" t="s">
        <v>374</v>
      </c>
      <c r="P387" s="37"/>
      <c r="Q387" s="37"/>
      <c r="R387" s="37"/>
      <c r="S387" s="37"/>
      <c r="T387" s="37"/>
      <c r="U387" s="37" t="s">
        <v>128</v>
      </c>
      <c r="V387" s="37" t="s">
        <v>89</v>
      </c>
      <c r="W387" s="37" t="s">
        <v>122</v>
      </c>
      <c r="X387" s="37"/>
      <c r="Y387" s="37"/>
      <c r="Z387" s="37"/>
      <c r="AA387" s="37">
        <v>0.2</v>
      </c>
    </row>
    <row r="388" spans="1:27" x14ac:dyDescent="0.25">
      <c r="A388" s="37" t="s">
        <v>1075</v>
      </c>
      <c r="B388" s="37" t="s">
        <v>242</v>
      </c>
      <c r="C388" s="37" t="s">
        <v>1076</v>
      </c>
      <c r="D388" s="37" t="s">
        <v>457</v>
      </c>
      <c r="E388" s="37" t="s">
        <v>84</v>
      </c>
      <c r="F388" s="37"/>
      <c r="G388" s="37" t="s">
        <v>119</v>
      </c>
      <c r="H388" s="37" t="s">
        <v>89</v>
      </c>
      <c r="I388" s="37" t="s">
        <v>1077</v>
      </c>
      <c r="J388" s="37" t="s">
        <v>135</v>
      </c>
      <c r="K388" s="37" t="s">
        <v>89</v>
      </c>
      <c r="L388" s="37" t="s">
        <v>122</v>
      </c>
      <c r="M388" s="37" t="s">
        <v>136</v>
      </c>
      <c r="N388" s="37" t="s">
        <v>89</v>
      </c>
      <c r="O388" s="37" t="s">
        <v>122</v>
      </c>
      <c r="P388" s="37"/>
      <c r="Q388" s="37"/>
      <c r="R388" s="37"/>
      <c r="S388" s="37"/>
      <c r="T388" s="37"/>
      <c r="U388" s="37" t="s">
        <v>128</v>
      </c>
      <c r="V388" s="37" t="s">
        <v>89</v>
      </c>
      <c r="W388" s="37" t="s">
        <v>122</v>
      </c>
      <c r="X388" s="37"/>
      <c r="Y388" s="37"/>
      <c r="Z388" s="37"/>
      <c r="AA388" s="37">
        <v>0.2</v>
      </c>
    </row>
    <row r="389" spans="1:27" x14ac:dyDescent="0.25">
      <c r="A389" s="37" t="s">
        <v>82</v>
      </c>
      <c r="B389" s="37" t="s">
        <v>167</v>
      </c>
      <c r="C389" s="37" t="s">
        <v>1078</v>
      </c>
      <c r="D389" s="37" t="s">
        <v>178</v>
      </c>
      <c r="E389" s="37" t="s">
        <v>84</v>
      </c>
      <c r="F389" s="37"/>
      <c r="G389" s="37" t="s">
        <v>119</v>
      </c>
      <c r="H389" s="37" t="s">
        <v>89</v>
      </c>
      <c r="I389" s="37" t="s">
        <v>1079</v>
      </c>
      <c r="J389" s="37" t="s">
        <v>121</v>
      </c>
      <c r="K389" s="37" t="s">
        <v>89</v>
      </c>
      <c r="L389" s="37" t="s">
        <v>122</v>
      </c>
      <c r="M389" s="37" t="s">
        <v>136</v>
      </c>
      <c r="N389" s="37" t="s">
        <v>89</v>
      </c>
      <c r="O389" s="37" t="s">
        <v>122</v>
      </c>
      <c r="P389" s="37"/>
      <c r="Q389" s="37"/>
      <c r="R389" s="37"/>
      <c r="S389" s="37"/>
      <c r="T389" s="37"/>
      <c r="U389" s="37" t="s">
        <v>128</v>
      </c>
      <c r="V389" s="37" t="s">
        <v>89</v>
      </c>
      <c r="W389" s="37" t="s">
        <v>122</v>
      </c>
      <c r="X389" s="37" t="s">
        <v>136</v>
      </c>
      <c r="Y389" s="37" t="s">
        <v>89</v>
      </c>
      <c r="Z389" s="37"/>
      <c r="AA389" s="37">
        <v>0.2</v>
      </c>
    </row>
    <row r="390" spans="1:27" x14ac:dyDescent="0.25">
      <c r="A390" s="37" t="s">
        <v>1075</v>
      </c>
      <c r="B390" s="37" t="s">
        <v>380</v>
      </c>
      <c r="C390" s="37" t="s">
        <v>1080</v>
      </c>
      <c r="D390" s="37" t="s">
        <v>435</v>
      </c>
      <c r="E390" s="37" t="s">
        <v>84</v>
      </c>
      <c r="F390" s="37"/>
      <c r="G390" s="37"/>
      <c r="H390" s="37"/>
      <c r="I390" s="37"/>
      <c r="J390" s="37" t="s">
        <v>135</v>
      </c>
      <c r="K390" s="37" t="s">
        <v>89</v>
      </c>
      <c r="L390" s="37" t="s">
        <v>122</v>
      </c>
      <c r="M390" s="37" t="s">
        <v>136</v>
      </c>
      <c r="N390" s="37" t="s">
        <v>89</v>
      </c>
      <c r="O390" s="37" t="s">
        <v>122</v>
      </c>
      <c r="P390" s="37"/>
      <c r="Q390" s="37"/>
      <c r="R390" s="37"/>
      <c r="S390" s="37"/>
      <c r="T390" s="37"/>
      <c r="U390" s="37" t="s">
        <v>128</v>
      </c>
      <c r="V390" s="37" t="s">
        <v>89</v>
      </c>
      <c r="W390" s="37" t="s">
        <v>122</v>
      </c>
      <c r="X390" s="37"/>
      <c r="Y390" s="37"/>
      <c r="Z390" s="37"/>
      <c r="AA390" s="37">
        <v>0.2</v>
      </c>
    </row>
    <row r="391" spans="1:27" x14ac:dyDescent="0.25">
      <c r="A391" s="37" t="s">
        <v>1081</v>
      </c>
      <c r="B391" s="37" t="s">
        <v>167</v>
      </c>
      <c r="C391" s="37" t="s">
        <v>1082</v>
      </c>
      <c r="D391" s="37" t="s">
        <v>214</v>
      </c>
      <c r="E391" s="37" t="s">
        <v>84</v>
      </c>
      <c r="F391" s="37"/>
      <c r="G391" s="37" t="s">
        <v>119</v>
      </c>
      <c r="H391" s="37" t="s">
        <v>84</v>
      </c>
      <c r="I391" s="37" t="s">
        <v>1083</v>
      </c>
      <c r="J391" s="37" t="s">
        <v>470</v>
      </c>
      <c r="K391" s="37" t="s">
        <v>767</v>
      </c>
      <c r="L391" s="37" t="s">
        <v>122</v>
      </c>
      <c r="M391" s="37" t="s">
        <v>470</v>
      </c>
      <c r="N391" s="37" t="s">
        <v>767</v>
      </c>
      <c r="O391" s="37" t="s">
        <v>122</v>
      </c>
      <c r="P391" s="37" t="s">
        <v>1068</v>
      </c>
      <c r="Q391" s="37" t="s">
        <v>174</v>
      </c>
      <c r="R391" s="37" t="s">
        <v>89</v>
      </c>
      <c r="S391" s="37" t="s">
        <v>127</v>
      </c>
      <c r="T391" s="37" t="s">
        <v>127</v>
      </c>
      <c r="U391" s="37" t="s">
        <v>470</v>
      </c>
      <c r="V391" s="37" t="s">
        <v>767</v>
      </c>
      <c r="W391" s="37" t="s">
        <v>122</v>
      </c>
      <c r="X391" s="37" t="s">
        <v>470</v>
      </c>
      <c r="Y391" s="37" t="s">
        <v>767</v>
      </c>
      <c r="Z391" s="37"/>
      <c r="AA391" s="37">
        <v>0.2</v>
      </c>
    </row>
    <row r="392" spans="1:27" x14ac:dyDescent="0.25">
      <c r="A392" s="37" t="s">
        <v>1084</v>
      </c>
      <c r="B392" s="37" t="s">
        <v>167</v>
      </c>
      <c r="C392" s="37" t="s">
        <v>1085</v>
      </c>
      <c r="D392" s="37" t="s">
        <v>214</v>
      </c>
      <c r="E392" s="37" t="s">
        <v>84</v>
      </c>
      <c r="F392" s="37"/>
      <c r="G392" s="37" t="s">
        <v>119</v>
      </c>
      <c r="H392" s="37" t="s">
        <v>84</v>
      </c>
      <c r="I392" s="37" t="s">
        <v>1086</v>
      </c>
      <c r="J392" s="37" t="s">
        <v>470</v>
      </c>
      <c r="K392" s="37" t="s">
        <v>767</v>
      </c>
      <c r="L392" s="37" t="s">
        <v>122</v>
      </c>
      <c r="M392" s="37" t="s">
        <v>470</v>
      </c>
      <c r="N392" s="37" t="s">
        <v>767</v>
      </c>
      <c r="O392" s="37" t="s">
        <v>122</v>
      </c>
      <c r="P392" s="37" t="s">
        <v>1068</v>
      </c>
      <c r="Q392" s="37" t="s">
        <v>174</v>
      </c>
      <c r="R392" s="37" t="s">
        <v>89</v>
      </c>
      <c r="S392" s="37" t="s">
        <v>127</v>
      </c>
      <c r="T392" s="37" t="s">
        <v>127</v>
      </c>
      <c r="U392" s="37" t="s">
        <v>470</v>
      </c>
      <c r="V392" s="37" t="s">
        <v>767</v>
      </c>
      <c r="W392" s="37" t="s">
        <v>122</v>
      </c>
      <c r="X392" s="37" t="s">
        <v>470</v>
      </c>
      <c r="Y392" s="37" t="s">
        <v>767</v>
      </c>
      <c r="Z392" s="37"/>
      <c r="AA392" s="37">
        <v>0.2</v>
      </c>
    </row>
    <row r="393" spans="1:27" x14ac:dyDescent="0.25">
      <c r="A393" s="37" t="s">
        <v>1081</v>
      </c>
      <c r="B393" s="37" t="s">
        <v>130</v>
      </c>
      <c r="C393" s="37" t="s">
        <v>1087</v>
      </c>
      <c r="D393" s="37" t="s">
        <v>146</v>
      </c>
      <c r="E393" s="37" t="s">
        <v>84</v>
      </c>
      <c r="F393" s="37"/>
      <c r="G393" s="37" t="s">
        <v>147</v>
      </c>
      <c r="H393" s="37" t="s">
        <v>84</v>
      </c>
      <c r="I393" s="37" t="s">
        <v>148</v>
      </c>
      <c r="J393" s="37" t="s">
        <v>149</v>
      </c>
      <c r="K393" s="37" t="s">
        <v>84</v>
      </c>
      <c r="L393" s="37" t="s">
        <v>122</v>
      </c>
      <c r="M393" s="37" t="s">
        <v>136</v>
      </c>
      <c r="N393" s="37" t="s">
        <v>89</v>
      </c>
      <c r="O393" s="37" t="s">
        <v>122</v>
      </c>
      <c r="P393" s="37"/>
      <c r="Q393" s="37"/>
      <c r="R393" s="37"/>
      <c r="S393" s="37"/>
      <c r="T393" s="37"/>
      <c r="U393" s="37" t="s">
        <v>128</v>
      </c>
      <c r="V393" s="37" t="s">
        <v>89</v>
      </c>
      <c r="W393" s="37" t="s">
        <v>122</v>
      </c>
      <c r="X393" s="37"/>
      <c r="Y393" s="37"/>
      <c r="Z393" s="37"/>
      <c r="AA393" s="37">
        <v>0.2</v>
      </c>
    </row>
    <row r="394" spans="1:27" x14ac:dyDescent="0.25">
      <c r="A394" s="37" t="s">
        <v>1075</v>
      </c>
      <c r="B394" s="37" t="s">
        <v>532</v>
      </c>
      <c r="C394" s="37" t="s">
        <v>1088</v>
      </c>
      <c r="D394" s="37" t="s">
        <v>435</v>
      </c>
      <c r="E394" s="37" t="s">
        <v>84</v>
      </c>
      <c r="F394" s="37"/>
      <c r="G394" s="37"/>
      <c r="H394" s="37"/>
      <c r="I394" s="37"/>
      <c r="J394" s="37" t="s">
        <v>135</v>
      </c>
      <c r="K394" s="37" t="s">
        <v>89</v>
      </c>
      <c r="L394" s="37" t="s">
        <v>122</v>
      </c>
      <c r="M394" s="37" t="s">
        <v>136</v>
      </c>
      <c r="N394" s="37" t="s">
        <v>89</v>
      </c>
      <c r="O394" s="37" t="s">
        <v>122</v>
      </c>
      <c r="P394" s="37"/>
      <c r="Q394" s="37"/>
      <c r="R394" s="37"/>
      <c r="S394" s="37"/>
      <c r="T394" s="37"/>
      <c r="U394" s="37" t="s">
        <v>128</v>
      </c>
      <c r="V394" s="37" t="s">
        <v>89</v>
      </c>
      <c r="W394" s="37" t="s">
        <v>122</v>
      </c>
      <c r="X394" s="37"/>
      <c r="Y394" s="37"/>
      <c r="Z394" s="37"/>
      <c r="AA394" s="37">
        <v>0.2</v>
      </c>
    </row>
    <row r="395" spans="1:27" x14ac:dyDescent="0.25">
      <c r="A395" s="37" t="s">
        <v>1089</v>
      </c>
      <c r="B395" s="37" t="s">
        <v>167</v>
      </c>
      <c r="C395" s="37" t="s">
        <v>1090</v>
      </c>
      <c r="D395" s="37" t="s">
        <v>214</v>
      </c>
      <c r="E395" s="37" t="s">
        <v>84</v>
      </c>
      <c r="F395" s="37"/>
      <c r="G395" s="37" t="s">
        <v>119</v>
      </c>
      <c r="H395" s="37" t="s">
        <v>84</v>
      </c>
      <c r="I395" s="37" t="s">
        <v>1091</v>
      </c>
      <c r="J395" s="37" t="s">
        <v>470</v>
      </c>
      <c r="K395" s="37" t="s">
        <v>767</v>
      </c>
      <c r="L395" s="37" t="s">
        <v>122</v>
      </c>
      <c r="M395" s="37" t="s">
        <v>470</v>
      </c>
      <c r="N395" s="37" t="s">
        <v>767</v>
      </c>
      <c r="O395" s="37" t="s">
        <v>122</v>
      </c>
      <c r="P395" s="37" t="s">
        <v>1068</v>
      </c>
      <c r="Q395" s="37" t="s">
        <v>174</v>
      </c>
      <c r="R395" s="37" t="s">
        <v>89</v>
      </c>
      <c r="S395" s="37" t="s">
        <v>127</v>
      </c>
      <c r="T395" s="37" t="s">
        <v>127</v>
      </c>
      <c r="U395" s="37" t="s">
        <v>470</v>
      </c>
      <c r="V395" s="37" t="s">
        <v>767</v>
      </c>
      <c r="W395" s="37" t="s">
        <v>122</v>
      </c>
      <c r="X395" s="37" t="s">
        <v>470</v>
      </c>
      <c r="Y395" s="37" t="s">
        <v>767</v>
      </c>
      <c r="Z395" s="37"/>
      <c r="AA395" s="37">
        <v>0.2</v>
      </c>
    </row>
    <row r="396" spans="1:27" x14ac:dyDescent="0.25">
      <c r="A396" s="37" t="s">
        <v>82</v>
      </c>
      <c r="B396" s="37" t="s">
        <v>342</v>
      </c>
      <c r="C396" s="37" t="s">
        <v>1092</v>
      </c>
      <c r="D396" s="37" t="s">
        <v>457</v>
      </c>
      <c r="E396" s="37" t="s">
        <v>84</v>
      </c>
      <c r="F396" s="37"/>
      <c r="G396" s="37" t="s">
        <v>119</v>
      </c>
      <c r="H396" s="37" t="s">
        <v>89</v>
      </c>
      <c r="I396" s="37" t="s">
        <v>1093</v>
      </c>
      <c r="J396" s="37" t="s">
        <v>135</v>
      </c>
      <c r="K396" s="37" t="s">
        <v>89</v>
      </c>
      <c r="L396" s="37" t="s">
        <v>122</v>
      </c>
      <c r="M396" s="37" t="s">
        <v>136</v>
      </c>
      <c r="N396" s="37" t="s">
        <v>89</v>
      </c>
      <c r="O396" s="37" t="s">
        <v>122</v>
      </c>
      <c r="P396" s="37"/>
      <c r="Q396" s="37"/>
      <c r="R396" s="37"/>
      <c r="S396" s="37"/>
      <c r="T396" s="37"/>
      <c r="U396" s="37" t="s">
        <v>128</v>
      </c>
      <c r="V396" s="37" t="s">
        <v>89</v>
      </c>
      <c r="W396" s="37" t="s">
        <v>122</v>
      </c>
      <c r="X396" s="37" t="s">
        <v>136</v>
      </c>
      <c r="Y396" s="37"/>
      <c r="Z396" s="37"/>
      <c r="AA396" s="37">
        <v>0.2</v>
      </c>
    </row>
    <row r="397" spans="1:27" x14ac:dyDescent="0.25">
      <c r="A397" s="37" t="s">
        <v>1094</v>
      </c>
      <c r="B397" s="37" t="s">
        <v>130</v>
      </c>
      <c r="C397" s="37" t="s">
        <v>1095</v>
      </c>
      <c r="D397" s="37" t="s">
        <v>146</v>
      </c>
      <c r="E397" s="37" t="s">
        <v>767</v>
      </c>
      <c r="F397" s="37"/>
      <c r="G397" s="37" t="s">
        <v>147</v>
      </c>
      <c r="H397" s="37" t="s">
        <v>89</v>
      </c>
      <c r="I397" s="37" t="s">
        <v>1096</v>
      </c>
      <c r="J397" s="37" t="s">
        <v>135</v>
      </c>
      <c r="K397" s="37" t="s">
        <v>89</v>
      </c>
      <c r="L397" s="37" t="s">
        <v>122</v>
      </c>
      <c r="M397" s="37" t="s">
        <v>136</v>
      </c>
      <c r="N397" s="37" t="s">
        <v>89</v>
      </c>
      <c r="O397" s="37" t="s">
        <v>122</v>
      </c>
      <c r="P397" s="37"/>
      <c r="Q397" s="37"/>
      <c r="R397" s="37"/>
      <c r="S397" s="37"/>
      <c r="T397" s="37"/>
      <c r="U397" s="37" t="s">
        <v>128</v>
      </c>
      <c r="V397" s="37" t="s">
        <v>89</v>
      </c>
      <c r="W397" s="37" t="s">
        <v>122</v>
      </c>
      <c r="X397" s="37" t="s">
        <v>136</v>
      </c>
      <c r="Y397" s="37"/>
      <c r="Z397" s="37"/>
      <c r="AA397" s="37">
        <v>0.2</v>
      </c>
    </row>
    <row r="398" spans="1:27" x14ac:dyDescent="0.25">
      <c r="A398" s="37" t="s">
        <v>1097</v>
      </c>
      <c r="B398" s="37" t="s">
        <v>130</v>
      </c>
      <c r="C398" s="37" t="s">
        <v>1098</v>
      </c>
      <c r="D398" s="37" t="s">
        <v>146</v>
      </c>
      <c r="E398" s="37" t="s">
        <v>767</v>
      </c>
      <c r="F398" s="37"/>
      <c r="G398" s="37" t="s">
        <v>147</v>
      </c>
      <c r="H398" s="37" t="s">
        <v>89</v>
      </c>
      <c r="I398" s="37" t="s">
        <v>1099</v>
      </c>
      <c r="J398" s="37" t="s">
        <v>135</v>
      </c>
      <c r="K398" s="37" t="s">
        <v>89</v>
      </c>
      <c r="L398" s="37" t="s">
        <v>122</v>
      </c>
      <c r="M398" s="37" t="s">
        <v>136</v>
      </c>
      <c r="N398" s="37" t="s">
        <v>89</v>
      </c>
      <c r="O398" s="37" t="s">
        <v>122</v>
      </c>
      <c r="P398" s="37"/>
      <c r="Q398" s="37"/>
      <c r="R398" s="37"/>
      <c r="S398" s="37"/>
      <c r="T398" s="37"/>
      <c r="U398" s="37" t="s">
        <v>128</v>
      </c>
      <c r="V398" s="37" t="s">
        <v>89</v>
      </c>
      <c r="W398" s="37" t="s">
        <v>122</v>
      </c>
      <c r="X398" s="37"/>
      <c r="Y398" s="37"/>
      <c r="Z398" s="37"/>
      <c r="AA398" s="37">
        <v>0.2</v>
      </c>
    </row>
    <row r="399" spans="1:27" x14ac:dyDescent="0.25">
      <c r="A399" s="37" t="s">
        <v>1100</v>
      </c>
      <c r="B399" s="37" t="s">
        <v>380</v>
      </c>
      <c r="C399" s="37" t="s">
        <v>1101</v>
      </c>
      <c r="D399" s="37" t="s">
        <v>435</v>
      </c>
      <c r="E399" s="37" t="s">
        <v>89</v>
      </c>
      <c r="F399" s="37"/>
      <c r="G399" s="37"/>
      <c r="H399" s="37"/>
      <c r="I399" s="37"/>
      <c r="J399" s="37" t="s">
        <v>135</v>
      </c>
      <c r="K399" s="37" t="s">
        <v>89</v>
      </c>
      <c r="L399" s="37" t="s">
        <v>122</v>
      </c>
      <c r="M399" s="37" t="s">
        <v>136</v>
      </c>
      <c r="N399" s="37" t="s">
        <v>89</v>
      </c>
      <c r="O399" s="37" t="s">
        <v>122</v>
      </c>
      <c r="P399" s="37"/>
      <c r="Q399" s="37"/>
      <c r="R399" s="37"/>
      <c r="S399" s="37"/>
      <c r="T399" s="37"/>
      <c r="U399" s="37" t="s">
        <v>128</v>
      </c>
      <c r="V399" s="37" t="s">
        <v>89</v>
      </c>
      <c r="W399" s="37" t="s">
        <v>122</v>
      </c>
      <c r="X399" s="37"/>
      <c r="Y399" s="37"/>
      <c r="Z399" s="37"/>
      <c r="AA399" s="37">
        <v>0.2</v>
      </c>
    </row>
    <row r="400" spans="1:27" x14ac:dyDescent="0.25">
      <c r="A400" s="37" t="s">
        <v>1100</v>
      </c>
      <c r="B400" s="37" t="s">
        <v>484</v>
      </c>
      <c r="C400" s="37" t="s">
        <v>1102</v>
      </c>
      <c r="D400" s="37" t="s">
        <v>214</v>
      </c>
      <c r="E400" s="37" t="s">
        <v>89</v>
      </c>
      <c r="F400" s="37" t="s">
        <v>1103</v>
      </c>
      <c r="G400" s="37" t="s">
        <v>119</v>
      </c>
      <c r="H400" s="37" t="s">
        <v>89</v>
      </c>
      <c r="I400" s="37" t="s">
        <v>1104</v>
      </c>
      <c r="J400" s="37" t="s">
        <v>135</v>
      </c>
      <c r="K400" s="37" t="s">
        <v>89</v>
      </c>
      <c r="L400" s="37" t="s">
        <v>122</v>
      </c>
      <c r="M400" s="37" t="s">
        <v>136</v>
      </c>
      <c r="N400" s="37" t="s">
        <v>89</v>
      </c>
      <c r="O400" s="37" t="s">
        <v>122</v>
      </c>
      <c r="P400" s="37"/>
      <c r="Q400" s="37"/>
      <c r="R400" s="37"/>
      <c r="S400" s="37"/>
      <c r="T400" s="37"/>
      <c r="U400" s="37" t="s">
        <v>128</v>
      </c>
      <c r="V400" s="37" t="s">
        <v>89</v>
      </c>
      <c r="W400" s="37" t="s">
        <v>122</v>
      </c>
      <c r="X400" s="37"/>
      <c r="Y400" s="37"/>
      <c r="Z400" s="37"/>
      <c r="AA400" s="37">
        <v>0.2</v>
      </c>
    </row>
    <row r="401" spans="1:27" x14ac:dyDescent="0.25">
      <c r="A401" s="37" t="s">
        <v>1100</v>
      </c>
      <c r="B401" s="37" t="s">
        <v>532</v>
      </c>
      <c r="C401" s="37" t="s">
        <v>1102</v>
      </c>
      <c r="D401" s="37" t="s">
        <v>214</v>
      </c>
      <c r="E401" s="37" t="s">
        <v>89</v>
      </c>
      <c r="F401" s="37" t="s">
        <v>1103</v>
      </c>
      <c r="G401" s="37" t="s">
        <v>119</v>
      </c>
      <c r="H401" s="37" t="s">
        <v>89</v>
      </c>
      <c r="I401" s="37" t="s">
        <v>1104</v>
      </c>
      <c r="J401" s="37" t="s">
        <v>135</v>
      </c>
      <c r="K401" s="37" t="s">
        <v>89</v>
      </c>
      <c r="L401" s="37" t="s">
        <v>122</v>
      </c>
      <c r="M401" s="37" t="s">
        <v>136</v>
      </c>
      <c r="N401" s="37" t="s">
        <v>89</v>
      </c>
      <c r="O401" s="37" t="s">
        <v>122</v>
      </c>
      <c r="P401" s="37"/>
      <c r="Q401" s="37"/>
      <c r="R401" s="37"/>
      <c r="S401" s="37"/>
      <c r="T401" s="37"/>
      <c r="U401" s="37" t="s">
        <v>128</v>
      </c>
      <c r="V401" s="37" t="s">
        <v>89</v>
      </c>
      <c r="W401" s="37" t="s">
        <v>122</v>
      </c>
      <c r="X401" s="37"/>
      <c r="Y401" s="37"/>
      <c r="Z401" s="37" t="s">
        <v>1105</v>
      </c>
      <c r="AA401" s="37">
        <v>0.2</v>
      </c>
    </row>
    <row r="402" spans="1:27" x14ac:dyDescent="0.25">
      <c r="A402" s="37" t="s">
        <v>1106</v>
      </c>
      <c r="B402" s="37" t="s">
        <v>380</v>
      </c>
      <c r="C402" s="37" t="s">
        <v>1107</v>
      </c>
      <c r="D402" s="37" t="s">
        <v>435</v>
      </c>
      <c r="E402" s="37" t="s">
        <v>89</v>
      </c>
      <c r="F402" s="37"/>
      <c r="G402" s="37"/>
      <c r="H402" s="37"/>
      <c r="I402" s="37"/>
      <c r="J402" s="37" t="s">
        <v>135</v>
      </c>
      <c r="K402" s="37" t="s">
        <v>89</v>
      </c>
      <c r="L402" s="37" t="s">
        <v>122</v>
      </c>
      <c r="M402" s="37" t="s">
        <v>136</v>
      </c>
      <c r="N402" s="37" t="s">
        <v>89</v>
      </c>
      <c r="O402" s="37" t="s">
        <v>122</v>
      </c>
      <c r="P402" s="37"/>
      <c r="Q402" s="37"/>
      <c r="R402" s="37"/>
      <c r="S402" s="37"/>
      <c r="T402" s="37"/>
      <c r="U402" s="37" t="s">
        <v>128</v>
      </c>
      <c r="V402" s="37" t="s">
        <v>89</v>
      </c>
      <c r="W402" s="37" t="s">
        <v>122</v>
      </c>
      <c r="X402" s="37"/>
      <c r="Y402" s="37"/>
      <c r="Z402" s="37"/>
      <c r="AA402" s="37">
        <v>0.2</v>
      </c>
    </row>
    <row r="403" spans="1:27" x14ac:dyDescent="0.25">
      <c r="A403" s="37" t="s">
        <v>1100</v>
      </c>
      <c r="B403" s="37" t="s">
        <v>130</v>
      </c>
      <c r="C403" s="37" t="s">
        <v>1108</v>
      </c>
      <c r="D403" s="37" t="s">
        <v>146</v>
      </c>
      <c r="E403" s="37" t="s">
        <v>89</v>
      </c>
      <c r="F403" s="37"/>
      <c r="G403" s="37" t="s">
        <v>147</v>
      </c>
      <c r="H403" s="37" t="s">
        <v>89</v>
      </c>
      <c r="I403" s="37" t="s">
        <v>1109</v>
      </c>
      <c r="J403" s="37" t="s">
        <v>135</v>
      </c>
      <c r="K403" s="37" t="s">
        <v>89</v>
      </c>
      <c r="L403" s="37" t="s">
        <v>122</v>
      </c>
      <c r="M403" s="37" t="s">
        <v>136</v>
      </c>
      <c r="N403" s="37" t="s">
        <v>89</v>
      </c>
      <c r="O403" s="37" t="s">
        <v>122</v>
      </c>
      <c r="P403" s="37"/>
      <c r="Q403" s="37"/>
      <c r="R403" s="37"/>
      <c r="S403" s="37"/>
      <c r="T403" s="37"/>
      <c r="U403" s="37" t="s">
        <v>128</v>
      </c>
      <c r="V403" s="37" t="s">
        <v>89</v>
      </c>
      <c r="W403" s="37" t="s">
        <v>122</v>
      </c>
      <c r="X403" s="37" t="s">
        <v>136</v>
      </c>
      <c r="Y403" s="37"/>
      <c r="Z403" s="37"/>
      <c r="AA403" s="37">
        <v>0.2</v>
      </c>
    </row>
    <row r="404" spans="1:27" x14ac:dyDescent="0.25">
      <c r="A404" s="37" t="s">
        <v>1106</v>
      </c>
      <c r="B404" s="37" t="s">
        <v>242</v>
      </c>
      <c r="C404" s="37" t="s">
        <v>1110</v>
      </c>
      <c r="D404" s="37" t="s">
        <v>178</v>
      </c>
      <c r="E404" s="37" t="s">
        <v>89</v>
      </c>
      <c r="F404" s="37"/>
      <c r="G404" s="37" t="s">
        <v>119</v>
      </c>
      <c r="H404" s="37" t="s">
        <v>89</v>
      </c>
      <c r="I404" s="37" t="s">
        <v>1111</v>
      </c>
      <c r="J404" s="37" t="s">
        <v>121</v>
      </c>
      <c r="K404" s="37" t="s">
        <v>89</v>
      </c>
      <c r="L404" s="37" t="s">
        <v>122</v>
      </c>
      <c r="M404" s="37" t="s">
        <v>136</v>
      </c>
      <c r="N404" s="37" t="s">
        <v>89</v>
      </c>
      <c r="O404" s="37" t="s">
        <v>122</v>
      </c>
      <c r="P404" s="37"/>
      <c r="Q404" s="37"/>
      <c r="R404" s="37"/>
      <c r="S404" s="37"/>
      <c r="T404" s="37"/>
      <c r="U404" s="37" t="s">
        <v>128</v>
      </c>
      <c r="V404" s="37" t="s">
        <v>89</v>
      </c>
      <c r="W404" s="37" t="s">
        <v>122</v>
      </c>
      <c r="X404" s="37" t="s">
        <v>136</v>
      </c>
      <c r="Y404" s="37" t="s">
        <v>89</v>
      </c>
      <c r="Z404" s="37"/>
      <c r="AA404" s="37">
        <v>0.2</v>
      </c>
    </row>
    <row r="405" spans="1:27" x14ac:dyDescent="0.25">
      <c r="A405" s="37" t="s">
        <v>1100</v>
      </c>
      <c r="B405" s="37" t="s">
        <v>162</v>
      </c>
      <c r="C405" s="37" t="s">
        <v>1112</v>
      </c>
      <c r="D405" s="37" t="s">
        <v>117</v>
      </c>
      <c r="E405" s="37" t="s">
        <v>89</v>
      </c>
      <c r="F405" s="37"/>
      <c r="G405" s="37" t="s">
        <v>119</v>
      </c>
      <c r="H405" s="37" t="s">
        <v>89</v>
      </c>
      <c r="I405" s="37" t="s">
        <v>1113</v>
      </c>
      <c r="J405" s="37" t="s">
        <v>121</v>
      </c>
      <c r="K405" s="37" t="s">
        <v>89</v>
      </c>
      <c r="L405" s="37" t="s">
        <v>122</v>
      </c>
      <c r="M405" s="37" t="s">
        <v>123</v>
      </c>
      <c r="N405" s="37" t="s">
        <v>89</v>
      </c>
      <c r="O405" s="37" t="s">
        <v>122</v>
      </c>
      <c r="P405" s="37"/>
      <c r="Q405" s="37"/>
      <c r="R405" s="37"/>
      <c r="S405" s="37"/>
      <c r="T405" s="37"/>
      <c r="U405" s="37" t="s">
        <v>128</v>
      </c>
      <c r="V405" s="37" t="s">
        <v>89</v>
      </c>
      <c r="W405" s="37" t="s">
        <v>122</v>
      </c>
      <c r="X405" s="37"/>
      <c r="Y405" s="37"/>
      <c r="Z405" s="37"/>
      <c r="AA405" s="37">
        <v>0.2</v>
      </c>
    </row>
    <row r="406" spans="1:27" x14ac:dyDescent="0.25">
      <c r="A406" s="37" t="s">
        <v>1106</v>
      </c>
      <c r="B406" s="37" t="s">
        <v>484</v>
      </c>
      <c r="C406" s="37" t="s">
        <v>1114</v>
      </c>
      <c r="D406" s="37" t="s">
        <v>457</v>
      </c>
      <c r="E406" s="37" t="s">
        <v>89</v>
      </c>
      <c r="F406" s="37" t="s">
        <v>1115</v>
      </c>
      <c r="G406" s="37" t="s">
        <v>119</v>
      </c>
      <c r="H406" s="37" t="s">
        <v>89</v>
      </c>
      <c r="I406" s="37" t="s">
        <v>1116</v>
      </c>
      <c r="J406" s="37" t="s">
        <v>135</v>
      </c>
      <c r="K406" s="37" t="s">
        <v>89</v>
      </c>
      <c r="L406" s="37" t="s">
        <v>122</v>
      </c>
      <c r="M406" s="37" t="s">
        <v>136</v>
      </c>
      <c r="N406" s="37" t="s">
        <v>89</v>
      </c>
      <c r="O406" s="37" t="s">
        <v>122</v>
      </c>
      <c r="P406" s="37"/>
      <c r="Q406" s="37"/>
      <c r="R406" s="37"/>
      <c r="S406" s="37"/>
      <c r="T406" s="37"/>
      <c r="U406" s="37" t="s">
        <v>128</v>
      </c>
      <c r="V406" s="37" t="s">
        <v>89</v>
      </c>
      <c r="W406" s="37" t="s">
        <v>122</v>
      </c>
      <c r="X406" s="37"/>
      <c r="Y406" s="37"/>
      <c r="Z406" s="37"/>
      <c r="AA406" s="37">
        <v>0.2</v>
      </c>
    </row>
    <row r="407" spans="1:27" x14ac:dyDescent="0.25">
      <c r="A407" s="37" t="s">
        <v>1100</v>
      </c>
      <c r="B407" s="37" t="s">
        <v>242</v>
      </c>
      <c r="C407" s="37" t="s">
        <v>1117</v>
      </c>
      <c r="D407" s="37" t="s">
        <v>178</v>
      </c>
      <c r="E407" s="37" t="s">
        <v>89</v>
      </c>
      <c r="F407" s="37"/>
      <c r="G407" s="37" t="s">
        <v>119</v>
      </c>
      <c r="H407" s="37" t="s">
        <v>89</v>
      </c>
      <c r="I407" s="37" t="s">
        <v>1016</v>
      </c>
      <c r="J407" s="37" t="s">
        <v>121</v>
      </c>
      <c r="K407" s="37" t="s">
        <v>89</v>
      </c>
      <c r="L407" s="37" t="s">
        <v>122</v>
      </c>
      <c r="M407" s="37" t="s">
        <v>136</v>
      </c>
      <c r="N407" s="37" t="s">
        <v>89</v>
      </c>
      <c r="O407" s="37" t="s">
        <v>122</v>
      </c>
      <c r="P407" s="37"/>
      <c r="Q407" s="37"/>
      <c r="R407" s="37"/>
      <c r="S407" s="37"/>
      <c r="T407" s="37"/>
      <c r="U407" s="37" t="s">
        <v>128</v>
      </c>
      <c r="V407" s="37" t="s">
        <v>89</v>
      </c>
      <c r="W407" s="37" t="s">
        <v>122</v>
      </c>
      <c r="X407" s="37" t="s">
        <v>136</v>
      </c>
      <c r="Y407" s="37" t="s">
        <v>89</v>
      </c>
      <c r="Z407" s="37"/>
      <c r="AA407" s="37">
        <v>0.2</v>
      </c>
    </row>
    <row r="408" spans="1:27" x14ac:dyDescent="0.25">
      <c r="A408" s="37" t="s">
        <v>1118</v>
      </c>
      <c r="B408" s="37" t="s">
        <v>380</v>
      </c>
      <c r="C408" s="37" t="s">
        <v>1119</v>
      </c>
      <c r="D408" s="37" t="s">
        <v>435</v>
      </c>
      <c r="E408" s="37" t="s">
        <v>89</v>
      </c>
      <c r="F408" s="37"/>
      <c r="G408" s="37"/>
      <c r="H408" s="37"/>
      <c r="I408" s="37"/>
      <c r="J408" s="37" t="s">
        <v>135</v>
      </c>
      <c r="K408" s="37" t="s">
        <v>89</v>
      </c>
      <c r="L408" s="37" t="s">
        <v>122</v>
      </c>
      <c r="M408" s="37" t="s">
        <v>136</v>
      </c>
      <c r="N408" s="37" t="s">
        <v>89</v>
      </c>
      <c r="O408" s="37" t="s">
        <v>122</v>
      </c>
      <c r="P408" s="37"/>
      <c r="Q408" s="37"/>
      <c r="R408" s="37"/>
      <c r="S408" s="37"/>
      <c r="T408" s="37"/>
      <c r="U408" s="37" t="s">
        <v>128</v>
      </c>
      <c r="V408" s="37" t="s">
        <v>89</v>
      </c>
      <c r="W408" s="37" t="s">
        <v>122</v>
      </c>
      <c r="X408" s="37"/>
      <c r="Y408" s="37"/>
      <c r="Z408" s="37"/>
      <c r="AA408" s="37">
        <v>0.2</v>
      </c>
    </row>
    <row r="409" spans="1:27" x14ac:dyDescent="0.25">
      <c r="A409" s="37" t="s">
        <v>85</v>
      </c>
      <c r="B409" s="37" t="s">
        <v>167</v>
      </c>
      <c r="C409" s="37" t="s">
        <v>1120</v>
      </c>
      <c r="D409" s="37" t="s">
        <v>178</v>
      </c>
      <c r="E409" s="37" t="s">
        <v>89</v>
      </c>
      <c r="F409" s="37"/>
      <c r="G409" s="37" t="s">
        <v>119</v>
      </c>
      <c r="H409" s="37" t="s">
        <v>89</v>
      </c>
      <c r="I409" s="37" t="s">
        <v>1121</v>
      </c>
      <c r="J409" s="37" t="s">
        <v>121</v>
      </c>
      <c r="K409" s="37" t="s">
        <v>89</v>
      </c>
      <c r="L409" s="37" t="s">
        <v>122</v>
      </c>
      <c r="M409" s="37" t="s">
        <v>136</v>
      </c>
      <c r="N409" s="37" t="s">
        <v>89</v>
      </c>
      <c r="O409" s="37" t="s">
        <v>122</v>
      </c>
      <c r="P409" s="37"/>
      <c r="Q409" s="37"/>
      <c r="R409" s="37"/>
      <c r="S409" s="37"/>
      <c r="T409" s="37"/>
      <c r="U409" s="37" t="s">
        <v>128</v>
      </c>
      <c r="V409" s="37" t="s">
        <v>89</v>
      </c>
      <c r="W409" s="37" t="s">
        <v>122</v>
      </c>
      <c r="X409" s="37" t="s">
        <v>136</v>
      </c>
      <c r="Y409" s="37" t="s">
        <v>89</v>
      </c>
      <c r="Z409" s="37"/>
      <c r="AA409" s="37">
        <v>0.2</v>
      </c>
    </row>
    <row r="410" spans="1:27" x14ac:dyDescent="0.25">
      <c r="A410" s="37" t="s">
        <v>1106</v>
      </c>
      <c r="B410" s="37" t="s">
        <v>167</v>
      </c>
      <c r="C410" s="37" t="s">
        <v>1122</v>
      </c>
      <c r="D410" s="37" t="s">
        <v>214</v>
      </c>
      <c r="E410" s="37" t="s">
        <v>89</v>
      </c>
      <c r="F410" s="37"/>
      <c r="G410" s="37" t="s">
        <v>136</v>
      </c>
      <c r="H410" s="37" t="s">
        <v>89</v>
      </c>
      <c r="I410" s="37" t="s">
        <v>1123</v>
      </c>
      <c r="J410" s="37" t="s">
        <v>135</v>
      </c>
      <c r="K410" s="37" t="s">
        <v>89</v>
      </c>
      <c r="L410" s="37" t="s">
        <v>122</v>
      </c>
      <c r="M410" s="37" t="s">
        <v>136</v>
      </c>
      <c r="N410" s="37" t="s">
        <v>89</v>
      </c>
      <c r="O410" s="37" t="s">
        <v>122</v>
      </c>
      <c r="P410" s="37" t="s">
        <v>1068</v>
      </c>
      <c r="Q410" s="37" t="s">
        <v>174</v>
      </c>
      <c r="R410" s="37" t="s">
        <v>89</v>
      </c>
      <c r="S410" s="37" t="s">
        <v>127</v>
      </c>
      <c r="T410" s="37" t="s">
        <v>127</v>
      </c>
      <c r="U410" s="37" t="s">
        <v>128</v>
      </c>
      <c r="V410" s="37" t="s">
        <v>89</v>
      </c>
      <c r="W410" s="37" t="s">
        <v>122</v>
      </c>
      <c r="X410" s="37"/>
      <c r="Y410" s="37"/>
      <c r="Z410" s="37"/>
      <c r="AA410" s="37">
        <v>0.2</v>
      </c>
    </row>
  </sheetData>
  <dataValidations count="24">
    <dataValidation type="date" showInputMessage="1" showErrorMessage="1" sqref="AA10:AA12"/>
    <dataValidation type="date" showInputMessage="1" showErrorMessage="1" sqref="AA2:AA12"/>
    <dataValidation type="date" showInputMessage="1" showErrorMessage="1" sqref="E10:E12"/>
    <dataValidation type="date" showInputMessage="1" showErrorMessage="1" sqref="E2:E12"/>
    <dataValidation type="date" showInputMessage="1" showErrorMessage="1" sqref="H10:H12"/>
    <dataValidation type="date" showInputMessage="1" showErrorMessage="1" sqref="H2:H12"/>
    <dataValidation type="date" showInputMessage="1" showErrorMessage="1" sqref="K10:K12"/>
    <dataValidation type="date" showInputMessage="1" showErrorMessage="1" sqref="K2:K12"/>
    <dataValidation type="list" showInputMessage="1" showErrorMessage="1" sqref="L10:L12">
      <formula1>"一次评审通过,二次评审通过,二次及以上评审通过,"</formula1>
    </dataValidation>
    <dataValidation type="list" showInputMessage="1" showErrorMessage="1" sqref="L2:L12">
      <formula1>"一次评审通过,二次评审通过,二次及以上评审通过,"</formula1>
    </dataValidation>
    <dataValidation type="date" showInputMessage="1" showErrorMessage="1" sqref="N10:N12"/>
    <dataValidation type="date" showInputMessage="1" showErrorMessage="1" sqref="N2:N12"/>
    <dataValidation type="list" showInputMessage="1" showErrorMessage="1" sqref="O10:O12">
      <formula1>"一次评审通过,二次评审通过,二次及以上评审通过,"</formula1>
    </dataValidation>
    <dataValidation type="list" showInputMessage="1" showErrorMessage="1" sqref="O2:O12">
      <formula1>"一次评审通过,二次评审通过,二次及以上评审通过,"</formula1>
    </dataValidation>
    <dataValidation type="list" showInputMessage="1" showErrorMessage="1" sqref="Q10:Q12">
      <formula1>"赵志伟,刘洁,肖文晖,黄自立,张国伟,熊宇航,智彬,刘浩鹏,周妍,韩云,豆方威,陈倩,徐镇昇,梁紫琼,高若云,"</formula1>
    </dataValidation>
    <dataValidation type="list" showInputMessage="1" showErrorMessage="1" sqref="Q2:Q12">
      <formula1>"赵志伟,刘洁,肖文晖,黄自立,张国伟,熊宇航,智彬,刘浩鹏,周妍,韩云,豆方威,陈倩,徐镇昇,梁紫琼,高若云,"</formula1>
    </dataValidation>
    <dataValidation type="date" showInputMessage="1" showErrorMessage="1" sqref="R10:R12"/>
    <dataValidation type="date" showInputMessage="1" showErrorMessage="1" sqref="R2:R12"/>
    <dataValidation type="date" showInputMessage="1" showErrorMessage="1" sqref="V10:V12"/>
    <dataValidation type="date" showInputMessage="1" showErrorMessage="1" sqref="V2:V12"/>
    <dataValidation type="list" showInputMessage="1" showErrorMessage="1" sqref="W10:W12">
      <formula1>"一次评审通过,二次评审通过,二次及以上评审通过,"</formula1>
    </dataValidation>
    <dataValidation type="list" showInputMessage="1" showErrorMessage="1" sqref="W2:W12">
      <formula1>"一次评审通过,二次评审通过,二次及以上评审通过,"</formula1>
    </dataValidation>
    <dataValidation type="date" showInputMessage="1" showErrorMessage="1" sqref="Y10:Y12"/>
    <dataValidation type="date" showInputMessage="1" showErrorMessage="1" sqref="Y2:Y12"/>
  </dataValidation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sheetViews>
  <sheetFormatPr defaultRowHeight="18" outlineLevelRow="0" outlineLevelCol="0" x14ac:dyDescent="0" customHeight="1"/>
  <cols>
    <col min="1" max="1" width="37.4219" style="44" customWidth="1"/>
    <col min="2" max="2" width="13.6133" style="44" customWidth="1"/>
    <col min="3" max="3" width="60.1133" style="44" customWidth="1"/>
    <col min="4" max="24" width="13.6133" style="44" customWidth="1"/>
  </cols>
  <sheetData>
    <row r="1" spans="1:8" x14ac:dyDescent="0.25">
      <c r="A1" s="49" t="s">
        <v>35</v>
      </c>
      <c r="B1" s="49" t="s">
        <v>37</v>
      </c>
      <c r="C1" s="50" t="s">
        <v>38</v>
      </c>
      <c r="D1" s="51" t="s">
        <v>40</v>
      </c>
      <c r="E1" s="49" t="s">
        <v>42</v>
      </c>
      <c r="F1" s="49" t="s">
        <v>43</v>
      </c>
      <c r="G1" s="51" t="s">
        <v>44</v>
      </c>
      <c r="H1" s="52"/>
    </row>
  </sheetData>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sheetViews>
  <sheetFormatPr defaultRowHeight="18" outlineLevelRow="0" outlineLevelCol="0" x14ac:dyDescent="0" customHeight="1"/>
  <cols>
    <col min="1" max="1" width="33.6133" style="44" customWidth="1"/>
    <col min="2" max="2" width="13.6133" style="44" customWidth="1"/>
    <col min="3" max="3" width="47.9727" style="44" customWidth="1"/>
    <col min="4" max="4" width="13.6133" style="44" customWidth="1"/>
    <col min="5" max="5" width="14.9609" style="44" customWidth="1"/>
    <col min="6" max="26" width="13.6133" style="44" customWidth="1"/>
  </cols>
  <sheetData>
    <row r="1" spans="1:8" x14ac:dyDescent="0.25">
      <c r="A1" s="49" t="s">
        <v>35</v>
      </c>
      <c r="B1" s="53" t="s">
        <v>37</v>
      </c>
      <c r="C1" s="50" t="s">
        <v>38</v>
      </c>
      <c r="D1" s="54" t="s">
        <v>40</v>
      </c>
      <c r="E1" s="53" t="s">
        <v>42</v>
      </c>
      <c r="F1" s="53" t="s">
        <v>43</v>
      </c>
      <c r="G1" s="54" t="s">
        <v>44</v>
      </c>
      <c r="H1" s="52"/>
    </row>
  </sheetData>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9"/>
  <sheetViews>
    <sheetView workbookViewId="0" zoomScale="100" zoomScaleNormal="100"/>
  </sheetViews>
  <sheetFormatPr defaultRowHeight="18" outlineLevelRow="0" outlineLevelCol="4" x14ac:dyDescent="0" defaultColWidth="14" customHeight="1"/>
  <cols>
    <col min="1" max="1" width="64.043" customWidth="1"/>
    <col min="2" max="2" width="64.625" customWidth="1"/>
    <col min="3" max="3" width="34.1346" customWidth="1"/>
  </cols>
  <sheetData>
    <row r="1" spans="1:5" x14ac:dyDescent="0.25">
      <c r="A1" s="55" t="s">
        <v>1124</v>
      </c>
      <c r="B1" s="55" t="s">
        <v>1125</v>
      </c>
      <c r="C1" s="55" t="s">
        <v>1126</v>
      </c>
      <c r="D1" s="56" t="s">
        <v>4</v>
      </c>
      <c r="E1" s="57" t="s">
        <v>5</v>
      </c>
    </row>
    <row r="2" spans="1:5" x14ac:dyDescent="0.25">
      <c r="A2" t="s">
        <v>1127</v>
      </c>
      <c r="B2" t="s">
        <v>1128</v>
      </c>
      <c r="C2" t="s">
        <v>698</v>
      </c>
      <c r="D2">
        <v>-0.5</v>
      </c>
      <c r="E2">
        <v>-0.5</v>
      </c>
    </row>
    <row r="3" spans="1:5" x14ac:dyDescent="0.25">
      <c r="A3" t="s">
        <v>1127</v>
      </c>
      <c r="B3" t="s">
        <v>1129</v>
      </c>
      <c r="C3" t="s">
        <v>1130</v>
      </c>
      <c r="D3">
        <v>-0.5</v>
      </c>
      <c r="E3">
        <v>-0.5</v>
      </c>
    </row>
    <row r="4" spans="1:5" x14ac:dyDescent="0.25">
      <c r="A4" t="s">
        <v>1127</v>
      </c>
      <c r="B4" t="s">
        <v>1131</v>
      </c>
      <c r="C4" t="s">
        <v>1132</v>
      </c>
      <c r="D4">
        <v>-0.5</v>
      </c>
      <c r="E4">
        <v>-0.5</v>
      </c>
    </row>
    <row r="5" spans="1:5" x14ac:dyDescent="0.25">
      <c r="A5" t="s">
        <v>1127</v>
      </c>
      <c r="B5" t="s">
        <v>1133</v>
      </c>
      <c r="C5" t="s">
        <v>1134</v>
      </c>
      <c r="D5">
        <v>-0.5</v>
      </c>
      <c r="E5">
        <v>-0.5</v>
      </c>
    </row>
    <row r="6" spans="1:5" x14ac:dyDescent="0.25">
      <c r="A6" t="s">
        <v>1127</v>
      </c>
      <c r="C6" t="s">
        <v>1135</v>
      </c>
      <c r="D6">
        <v>-0.5</v>
      </c>
      <c r="E6">
        <v>-0.5</v>
      </c>
    </row>
    <row r="7" spans="1:5" x14ac:dyDescent="0.25">
      <c r="A7" t="s">
        <v>1127</v>
      </c>
      <c r="B7" t="s">
        <v>1136</v>
      </c>
      <c r="C7" t="s">
        <v>1135</v>
      </c>
      <c r="D7">
        <v>-0.5</v>
      </c>
      <c r="E7">
        <v>-0.5</v>
      </c>
    </row>
    <row r="8" spans="1:5" x14ac:dyDescent="0.25">
      <c r="A8" t="s">
        <v>1127</v>
      </c>
      <c r="B8" t="s">
        <v>1137</v>
      </c>
      <c r="C8" t="s">
        <v>1138</v>
      </c>
      <c r="D8">
        <v>-0.5</v>
      </c>
      <c r="E8">
        <v>-0.5</v>
      </c>
    </row>
    <row r="9" spans="1:5" x14ac:dyDescent="0.25">
      <c r="A9" t="s">
        <v>1127</v>
      </c>
      <c r="B9" t="s">
        <v>1139</v>
      </c>
      <c r="C9" t="s">
        <v>1140</v>
      </c>
      <c r="D9">
        <v>-0.5</v>
      </c>
      <c r="E9">
        <v>-0.5</v>
      </c>
    </row>
    <row r="10" spans="1:5" x14ac:dyDescent="0.25">
      <c r="A10" t="s">
        <v>1127</v>
      </c>
      <c r="B10" t="s">
        <v>1141</v>
      </c>
      <c r="C10" t="s">
        <v>1142</v>
      </c>
      <c r="D10">
        <v>-0.5</v>
      </c>
      <c r="E10">
        <v>-0.5</v>
      </c>
    </row>
    <row r="11" spans="1:5" x14ac:dyDescent="0.25">
      <c r="A11" t="s">
        <v>1127</v>
      </c>
      <c r="B11" t="s">
        <v>1143</v>
      </c>
      <c r="C11" t="s">
        <v>1144</v>
      </c>
      <c r="D11">
        <v>-0.5</v>
      </c>
      <c r="E11">
        <v>-0.5</v>
      </c>
    </row>
    <row r="12" spans="1:5" x14ac:dyDescent="0.25">
      <c r="A12" t="s">
        <v>1127</v>
      </c>
      <c r="B12" t="s">
        <v>1145</v>
      </c>
      <c r="C12" t="s">
        <v>1146</v>
      </c>
      <c r="D12">
        <v>-0.5</v>
      </c>
      <c r="E12">
        <v>-0.5</v>
      </c>
    </row>
    <row r="13" spans="1:5" x14ac:dyDescent="0.25">
      <c r="A13" t="s">
        <v>1127</v>
      </c>
      <c r="B13" t="s">
        <v>1147</v>
      </c>
      <c r="C13" t="s">
        <v>1148</v>
      </c>
      <c r="D13">
        <v>-0.5</v>
      </c>
      <c r="E13">
        <v>-0.5</v>
      </c>
    </row>
    <row r="14" spans="1:5" x14ac:dyDescent="0.25">
      <c r="A14" t="s">
        <v>1127</v>
      </c>
      <c r="B14" t="s">
        <v>1149</v>
      </c>
      <c r="C14" t="s">
        <v>1150</v>
      </c>
      <c r="D14">
        <v>-0.5</v>
      </c>
      <c r="E14">
        <v>-0.5</v>
      </c>
    </row>
    <row r="15" spans="1:5" x14ac:dyDescent="0.25">
      <c r="A15" t="s">
        <v>1127</v>
      </c>
      <c r="B15" t="s">
        <v>1149</v>
      </c>
      <c r="C15" t="s">
        <v>1151</v>
      </c>
      <c r="D15">
        <v>-0.5</v>
      </c>
      <c r="E15">
        <v>-0.5</v>
      </c>
    </row>
    <row r="16" spans="1:5" x14ac:dyDescent="0.25">
      <c r="A16" t="s">
        <v>1127</v>
      </c>
      <c r="B16" t="s">
        <v>1152</v>
      </c>
      <c r="C16" t="s">
        <v>1153</v>
      </c>
      <c r="D16">
        <v>-0.5</v>
      </c>
      <c r="E16">
        <v>-0.5</v>
      </c>
    </row>
    <row r="17" spans="1:5" x14ac:dyDescent="0.25">
      <c r="A17" t="s">
        <v>1127</v>
      </c>
      <c r="B17" t="s">
        <v>1154</v>
      </c>
      <c r="C17" t="s">
        <v>1155</v>
      </c>
      <c r="D17">
        <v>-0.5</v>
      </c>
      <c r="E17">
        <v>-0.5</v>
      </c>
    </row>
    <row r="18" spans="1:5" x14ac:dyDescent="0.25">
      <c r="A18" t="s">
        <v>1127</v>
      </c>
      <c r="B18" t="s">
        <v>1156</v>
      </c>
      <c r="C18" t="s">
        <v>1157</v>
      </c>
      <c r="D18">
        <v>-0.5</v>
      </c>
      <c r="E18">
        <v>-0.5</v>
      </c>
    </row>
    <row r="19" spans="1:5" x14ac:dyDescent="0.25">
      <c r="A19" t="s">
        <v>1127</v>
      </c>
      <c r="B19" t="s">
        <v>1158</v>
      </c>
      <c r="C19" t="s">
        <v>1159</v>
      </c>
      <c r="D19">
        <v>-0.5</v>
      </c>
      <c r="E19">
        <v>-0.5</v>
      </c>
    </row>
    <row r="20" spans="1:5" x14ac:dyDescent="0.25">
      <c r="A20" t="s">
        <v>1127</v>
      </c>
      <c r="B20" t="s">
        <v>1160</v>
      </c>
      <c r="C20" t="s">
        <v>1161</v>
      </c>
      <c r="D20">
        <v>-0.5</v>
      </c>
      <c r="E20">
        <v>-0.5</v>
      </c>
    </row>
    <row r="21" spans="1:5" x14ac:dyDescent="0.25">
      <c r="A21" t="s">
        <v>1127</v>
      </c>
      <c r="B21" t="s">
        <v>1162</v>
      </c>
      <c r="C21" t="s">
        <v>1161</v>
      </c>
      <c r="D21">
        <v>-0.5</v>
      </c>
      <c r="E21">
        <v>-0.5</v>
      </c>
    </row>
    <row r="22" spans="1:5" x14ac:dyDescent="0.25">
      <c r="A22" t="s">
        <v>1127</v>
      </c>
      <c r="B22" t="s">
        <v>1163</v>
      </c>
      <c r="C22" t="s">
        <v>1164</v>
      </c>
      <c r="D22">
        <v>-0.5</v>
      </c>
      <c r="E22">
        <v>-0.5</v>
      </c>
    </row>
    <row r="23" spans="1:5" x14ac:dyDescent="0.25">
      <c r="A23" t="s">
        <v>1127</v>
      </c>
      <c r="B23" t="s">
        <v>1165</v>
      </c>
      <c r="C23" t="s">
        <v>1166</v>
      </c>
      <c r="D23">
        <v>-0.5</v>
      </c>
      <c r="E23">
        <v>-0.5</v>
      </c>
    </row>
    <row r="24" spans="1:5" x14ac:dyDescent="0.25">
      <c r="A24" t="s">
        <v>1127</v>
      </c>
      <c r="B24" t="s">
        <v>1167</v>
      </c>
      <c r="C24" t="s">
        <v>1159</v>
      </c>
      <c r="D24">
        <v>-0.5</v>
      </c>
      <c r="E24">
        <v>-0.5</v>
      </c>
    </row>
    <row r="25" spans="1:5" x14ac:dyDescent="0.25">
      <c r="A25" t="s">
        <v>1127</v>
      </c>
      <c r="B25" t="s">
        <v>1168</v>
      </c>
      <c r="C25" t="s">
        <v>1169</v>
      </c>
      <c r="D25">
        <v>-0.5</v>
      </c>
      <c r="E25">
        <v>-0.5</v>
      </c>
    </row>
    <row r="26" spans="1:5" x14ac:dyDescent="0.25">
      <c r="A26" t="s">
        <v>1127</v>
      </c>
      <c r="B26" t="s">
        <v>1170</v>
      </c>
      <c r="C26" t="s">
        <v>698</v>
      </c>
      <c r="D26">
        <v>-0.5</v>
      </c>
      <c r="E26">
        <v>-0.5</v>
      </c>
    </row>
    <row r="27" spans="1:5" x14ac:dyDescent="0.25">
      <c r="A27" t="s">
        <v>1127</v>
      </c>
      <c r="B27" t="s">
        <v>1171</v>
      </c>
      <c r="C27" t="s">
        <v>1130</v>
      </c>
      <c r="D27">
        <v>-0.5</v>
      </c>
      <c r="E27">
        <v>-0.5</v>
      </c>
    </row>
    <row r="28" spans="1:5" x14ac:dyDescent="0.25">
      <c r="A28" t="s">
        <v>1127</v>
      </c>
      <c r="B28" t="s">
        <v>1172</v>
      </c>
      <c r="C28" t="s">
        <v>1132</v>
      </c>
      <c r="D28">
        <v>-0.5</v>
      </c>
      <c r="E28">
        <v>-0.5</v>
      </c>
    </row>
    <row r="29" spans="1:5" x14ac:dyDescent="0.25">
      <c r="A29" t="s">
        <v>1127</v>
      </c>
      <c r="B29" t="s">
        <v>1173</v>
      </c>
      <c r="C29" t="s">
        <v>1134</v>
      </c>
      <c r="D29">
        <v>-0.5</v>
      </c>
      <c r="E29">
        <v>-0.5</v>
      </c>
    </row>
    <row r="30" spans="1:5" x14ac:dyDescent="0.25">
      <c r="A30" t="s">
        <v>1127</v>
      </c>
      <c r="B30" t="s">
        <v>1174</v>
      </c>
      <c r="C30" t="s">
        <v>1135</v>
      </c>
      <c r="D30">
        <v>-0.5</v>
      </c>
      <c r="E30">
        <v>-0.5</v>
      </c>
    </row>
    <row r="31" spans="1:5" x14ac:dyDescent="0.25">
      <c r="A31" t="s">
        <v>1127</v>
      </c>
      <c r="B31" t="s">
        <v>1175</v>
      </c>
      <c r="C31" t="s">
        <v>1135</v>
      </c>
      <c r="D31">
        <v>-0.5</v>
      </c>
      <c r="E31">
        <v>-0.5</v>
      </c>
    </row>
    <row r="32" spans="1:5" x14ac:dyDescent="0.25">
      <c r="A32" t="s">
        <v>1127</v>
      </c>
      <c r="B32" t="s">
        <v>1176</v>
      </c>
      <c r="C32" t="s">
        <v>1138</v>
      </c>
      <c r="D32">
        <v>-0.5</v>
      </c>
      <c r="E32">
        <v>-0.5</v>
      </c>
    </row>
    <row r="33" spans="1:5" x14ac:dyDescent="0.25">
      <c r="A33" t="s">
        <v>1127</v>
      </c>
      <c r="B33" t="s">
        <v>1177</v>
      </c>
      <c r="C33" t="s">
        <v>1140</v>
      </c>
      <c r="D33">
        <v>-0.5</v>
      </c>
      <c r="E33">
        <v>-0.5</v>
      </c>
    </row>
    <row r="34" spans="1:5" x14ac:dyDescent="0.25">
      <c r="A34" t="s">
        <v>1127</v>
      </c>
      <c r="B34" t="s">
        <v>1178</v>
      </c>
      <c r="C34" t="s">
        <v>1142</v>
      </c>
      <c r="D34">
        <v>-0.5</v>
      </c>
      <c r="E34">
        <v>-0.5</v>
      </c>
    </row>
    <row r="35" spans="1:5" x14ac:dyDescent="0.25">
      <c r="A35" t="s">
        <v>1127</v>
      </c>
      <c r="B35" t="s">
        <v>1179</v>
      </c>
      <c r="C35" t="s">
        <v>1144</v>
      </c>
      <c r="D35">
        <v>-0.5</v>
      </c>
      <c r="E35">
        <v>-0.5</v>
      </c>
    </row>
    <row r="36" spans="1:5" x14ac:dyDescent="0.25">
      <c r="A36" t="s">
        <v>1127</v>
      </c>
      <c r="B36" t="s">
        <v>1180</v>
      </c>
      <c r="C36" t="s">
        <v>1146</v>
      </c>
      <c r="D36">
        <v>-0.5</v>
      </c>
      <c r="E36">
        <v>-0.5</v>
      </c>
    </row>
    <row r="37" spans="1:5" x14ac:dyDescent="0.25">
      <c r="A37" t="s">
        <v>1127</v>
      </c>
      <c r="B37" t="s">
        <v>1181</v>
      </c>
      <c r="C37" t="s">
        <v>1148</v>
      </c>
      <c r="D37">
        <v>-0.5</v>
      </c>
      <c r="E37">
        <v>-0.5</v>
      </c>
    </row>
    <row r="38" spans="1:5" x14ac:dyDescent="0.25">
      <c r="A38" t="s">
        <v>1127</v>
      </c>
      <c r="B38" t="s">
        <v>1182</v>
      </c>
      <c r="C38" t="s">
        <v>1150</v>
      </c>
      <c r="D38">
        <v>-0.5</v>
      </c>
      <c r="E38">
        <v>-0.5</v>
      </c>
    </row>
    <row r="39" spans="1:5" x14ac:dyDescent="0.25">
      <c r="A39" t="s">
        <v>1127</v>
      </c>
      <c r="B39" t="s">
        <v>1182</v>
      </c>
      <c r="C39" t="s">
        <v>1151</v>
      </c>
      <c r="D39">
        <v>-0.5</v>
      </c>
      <c r="E39">
        <v>-0.5</v>
      </c>
    </row>
    <row r="40" spans="1:5" x14ac:dyDescent="0.25">
      <c r="A40" t="s">
        <v>1127</v>
      </c>
      <c r="B40" t="s">
        <v>1183</v>
      </c>
      <c r="C40" t="s">
        <v>1153</v>
      </c>
      <c r="D40">
        <v>-0.5</v>
      </c>
      <c r="E40">
        <v>-0.5</v>
      </c>
    </row>
    <row r="41" spans="1:5" x14ac:dyDescent="0.25">
      <c r="A41" t="s">
        <v>1127</v>
      </c>
      <c r="B41" t="s">
        <v>1184</v>
      </c>
      <c r="C41" t="s">
        <v>1155</v>
      </c>
      <c r="D41">
        <v>-0.5</v>
      </c>
      <c r="E41">
        <v>-0.5</v>
      </c>
    </row>
    <row r="42" spans="1:5" x14ac:dyDescent="0.25">
      <c r="A42" t="s">
        <v>1127</v>
      </c>
      <c r="B42" t="s">
        <v>1185</v>
      </c>
      <c r="C42" t="s">
        <v>1157</v>
      </c>
      <c r="D42">
        <v>-0.5</v>
      </c>
      <c r="E42">
        <v>-0.5</v>
      </c>
    </row>
    <row r="43" spans="1:5" x14ac:dyDescent="0.25">
      <c r="A43" t="s">
        <v>1127</v>
      </c>
      <c r="B43" t="s">
        <v>1186</v>
      </c>
      <c r="C43" t="s">
        <v>1159</v>
      </c>
      <c r="D43">
        <v>-0.5</v>
      </c>
      <c r="E43">
        <v>-0.5</v>
      </c>
    </row>
    <row r="44" spans="1:5" x14ac:dyDescent="0.25">
      <c r="A44" t="s">
        <v>1127</v>
      </c>
      <c r="B44" t="s">
        <v>1187</v>
      </c>
      <c r="C44" t="s">
        <v>1161</v>
      </c>
      <c r="D44">
        <v>-0.5</v>
      </c>
      <c r="E44">
        <v>-0.5</v>
      </c>
    </row>
    <row r="45" spans="1:5" x14ac:dyDescent="0.25">
      <c r="A45" t="s">
        <v>1127</v>
      </c>
      <c r="B45" t="s">
        <v>1188</v>
      </c>
      <c r="C45" t="s">
        <v>1161</v>
      </c>
      <c r="D45">
        <v>-0.5</v>
      </c>
      <c r="E45">
        <v>-0.5</v>
      </c>
    </row>
    <row r="46" spans="1:5" x14ac:dyDescent="0.25">
      <c r="A46" t="s">
        <v>25</v>
      </c>
      <c r="B46" t="s">
        <v>1189</v>
      </c>
      <c r="C46" t="s">
        <v>89</v>
      </c>
      <c r="D46">
        <v>-3</v>
      </c>
      <c r="E46">
        <v>-3</v>
      </c>
    </row>
    <row r="47" spans="1:5" x14ac:dyDescent="0.25">
      <c r="A47" t="s">
        <v>25</v>
      </c>
      <c r="B47" t="s">
        <v>1190</v>
      </c>
      <c r="C47" t="s">
        <v>89</v>
      </c>
      <c r="D47">
        <v>-3</v>
      </c>
      <c r="E47">
        <v>-3</v>
      </c>
    </row>
    <row r="48" spans="1:5" x14ac:dyDescent="0.25">
      <c r="A48" t="s">
        <v>25</v>
      </c>
      <c r="B48" t="s">
        <v>1191</v>
      </c>
      <c r="C48" t="s">
        <v>767</v>
      </c>
      <c r="D48">
        <v>-3</v>
      </c>
      <c r="E48">
        <v>-3</v>
      </c>
    </row>
    <row r="49" spans="1:5" x14ac:dyDescent="0.25">
      <c r="A49" t="s">
        <v>25</v>
      </c>
      <c r="B49" t="s">
        <v>1192</v>
      </c>
      <c r="C49" t="s">
        <v>84</v>
      </c>
      <c r="D49">
        <v>-3</v>
      </c>
      <c r="E49">
        <v>-3</v>
      </c>
    </row>
    <row r="50" spans="1:5" x14ac:dyDescent="0.25">
      <c r="A50" t="s">
        <v>25</v>
      </c>
      <c r="B50" t="s">
        <v>1193</v>
      </c>
      <c r="C50" t="s">
        <v>84</v>
      </c>
      <c r="D50">
        <v>-3</v>
      </c>
      <c r="E50">
        <v>-3</v>
      </c>
    </row>
    <row r="51" spans="1:5" x14ac:dyDescent="0.25">
      <c r="A51" t="s">
        <v>25</v>
      </c>
      <c r="B51" t="s">
        <v>1194</v>
      </c>
      <c r="C51" t="s">
        <v>84</v>
      </c>
      <c r="D51">
        <v>-3</v>
      </c>
      <c r="E51">
        <v>-3</v>
      </c>
    </row>
    <row r="52" spans="1:5" x14ac:dyDescent="0.25">
      <c r="A52" t="s">
        <v>25</v>
      </c>
      <c r="B52" t="s">
        <v>1195</v>
      </c>
      <c r="C52" t="s">
        <v>1010</v>
      </c>
      <c r="D52">
        <v>-3</v>
      </c>
      <c r="E52">
        <v>-3</v>
      </c>
    </row>
    <row r="53" spans="1:5" x14ac:dyDescent="0.25">
      <c r="A53" t="s">
        <v>25</v>
      </c>
      <c r="B53" t="s">
        <v>1196</v>
      </c>
      <c r="C53" t="s">
        <v>81</v>
      </c>
      <c r="D53">
        <v>-3</v>
      </c>
      <c r="E53">
        <v>-3</v>
      </c>
    </row>
    <row r="54" spans="1:5" x14ac:dyDescent="0.25">
      <c r="A54" t="s">
        <v>25</v>
      </c>
      <c r="B54" t="s">
        <v>1131</v>
      </c>
      <c r="C54" t="s">
        <v>78</v>
      </c>
      <c r="D54">
        <v>-3</v>
      </c>
      <c r="E54">
        <v>-3</v>
      </c>
    </row>
    <row r="55" spans="1:5" x14ac:dyDescent="0.25">
      <c r="A55" t="s">
        <v>25</v>
      </c>
      <c r="B55" t="s">
        <v>1197</v>
      </c>
      <c r="C55" t="s">
        <v>318</v>
      </c>
      <c r="D55">
        <v>-3</v>
      </c>
      <c r="E55">
        <v>-3</v>
      </c>
    </row>
    <row r="56" spans="1:5" x14ac:dyDescent="0.25">
      <c r="A56" t="s">
        <v>25</v>
      </c>
      <c r="B56" t="s">
        <v>1198</v>
      </c>
      <c r="C56" t="s">
        <v>297</v>
      </c>
      <c r="D56">
        <v>-3</v>
      </c>
      <c r="E56">
        <v>-3</v>
      </c>
    </row>
    <row r="57" spans="1:5" x14ac:dyDescent="0.25">
      <c r="A57" t="s">
        <v>25</v>
      </c>
      <c r="B57" t="s">
        <v>1199</v>
      </c>
      <c r="C57" t="s">
        <v>297</v>
      </c>
      <c r="D57">
        <v>-3</v>
      </c>
      <c r="E57">
        <v>-3</v>
      </c>
    </row>
    <row r="58" spans="1:5" x14ac:dyDescent="0.25">
      <c r="A58" t="s">
        <v>25</v>
      </c>
      <c r="B58" t="s">
        <v>1147</v>
      </c>
      <c r="C58" t="s">
        <v>159</v>
      </c>
      <c r="D58">
        <v>-3</v>
      </c>
      <c r="E58">
        <v>-3</v>
      </c>
    </row>
    <row r="59" spans="1:5" x14ac:dyDescent="0.25">
      <c r="A59" t="s">
        <v>25</v>
      </c>
      <c r="B59" t="s">
        <v>1200</v>
      </c>
      <c r="C59" t="s">
        <v>61</v>
      </c>
      <c r="D59">
        <v>-3</v>
      </c>
      <c r="E59">
        <v>-3</v>
      </c>
    </row>
    <row r="60" spans="1:5" x14ac:dyDescent="0.25">
      <c r="A60" t="s">
        <v>1201</v>
      </c>
      <c r="B60" t="s">
        <v>1202</v>
      </c>
      <c r="D60">
        <v>0</v>
      </c>
      <c r="E60">
        <v>0</v>
      </c>
    </row>
    <row r="61" spans="1:5" x14ac:dyDescent="0.25">
      <c r="A61" s="58"/>
      <c r="B61" s="11"/>
      <c r="C61" s="59"/>
      <c r="D61" s="60"/>
      <c r="E61" s="61"/>
    </row>
    <row r="62" spans="1:5" x14ac:dyDescent="0.25">
      <c r="A62" s="58"/>
      <c r="B62" s="11"/>
      <c r="C62" s="59"/>
      <c r="D62" s="60"/>
      <c r="E62" s="61"/>
    </row>
    <row r="63" spans="1:5" x14ac:dyDescent="0.25">
      <c r="A63" s="58"/>
      <c r="B63" s="11"/>
      <c r="C63" s="59"/>
      <c r="D63" s="60"/>
      <c r="E63" s="61"/>
    </row>
    <row r="64" spans="1:5" x14ac:dyDescent="0.25">
      <c r="A64" s="58"/>
      <c r="B64" s="11"/>
      <c r="C64" s="59"/>
      <c r="D64" s="62"/>
      <c r="E64" s="61"/>
    </row>
    <row r="65" spans="1:5" x14ac:dyDescent="0.25">
      <c r="A65" s="58"/>
      <c r="B65" s="11"/>
      <c r="C65" s="59"/>
      <c r="D65" s="60"/>
      <c r="E65" s="61"/>
    </row>
    <row r="66" spans="1:5" x14ac:dyDescent="0.25">
      <c r="A66" s="58"/>
      <c r="B66" s="11"/>
      <c r="C66" s="59"/>
      <c r="D66" s="60"/>
      <c r="E66" s="61"/>
    </row>
    <row r="67" spans="1:5" x14ac:dyDescent="0.25">
      <c r="A67" s="10"/>
      <c r="B67" s="10"/>
      <c r="C67" s="10"/>
      <c r="D67" s="63"/>
      <c r="E67" s="10"/>
    </row>
    <row r="68" spans="1:5" x14ac:dyDescent="0.25">
      <c r="A68" s="10"/>
      <c r="B68" s="10"/>
      <c r="C68" s="10"/>
      <c r="D68" s="63"/>
      <c r="E68" s="10"/>
    </row>
    <row r="69" spans="1:5" x14ac:dyDescent="0.25">
      <c r="A69" s="10"/>
      <c r="B69" s="10"/>
      <c r="C69" s="10"/>
      <c r="D69" s="63"/>
      <c r="E69" s="10"/>
    </row>
    <row r="70" spans="1:5" x14ac:dyDescent="0.25">
      <c r="A70" s="10"/>
      <c r="B70" s="10"/>
      <c r="C70" s="10"/>
      <c r="D70" s="63"/>
      <c r="E70" s="10"/>
    </row>
    <row r="71" spans="1:5" x14ac:dyDescent="0.25">
      <c r="A71" s="10"/>
      <c r="B71" s="10"/>
      <c r="C71" s="10"/>
      <c r="D71" s="63"/>
      <c r="E71" s="10"/>
    </row>
    <row r="72" spans="1:5" x14ac:dyDescent="0.25">
      <c r="A72" s="10"/>
      <c r="B72" s="10"/>
      <c r="C72" s="10"/>
      <c r="D72" s="63"/>
      <c r="E72" s="10"/>
    </row>
    <row r="73" spans="1:5" x14ac:dyDescent="0.25">
      <c r="A73" s="10"/>
      <c r="B73" s="10"/>
      <c r="C73" s="10"/>
      <c r="D73" s="63"/>
      <c r="E73" s="10"/>
    </row>
    <row r="74" spans="1:5" x14ac:dyDescent="0.25">
      <c r="A74" s="10"/>
      <c r="B74" s="10"/>
      <c r="C74" s="10"/>
      <c r="D74" s="63"/>
      <c r="E74" s="10"/>
    </row>
    <row r="75" spans="1:5" x14ac:dyDescent="0.25">
      <c r="A75" s="10"/>
      <c r="B75" s="10"/>
      <c r="C75" s="10"/>
      <c r="D75" s="63"/>
      <c r="E75" s="10"/>
    </row>
    <row r="76" spans="1:5" x14ac:dyDescent="0.25">
      <c r="A76" s="10"/>
      <c r="B76" s="10"/>
      <c r="C76" s="10"/>
      <c r="D76" s="63"/>
      <c r="E76" s="10"/>
    </row>
    <row r="77" spans="1:5" x14ac:dyDescent="0.25">
      <c r="A77" s="10"/>
      <c r="B77" s="10"/>
      <c r="C77" s="10"/>
      <c r="D77" s="63"/>
      <c r="E77" s="10"/>
    </row>
    <row r="78" spans="1:5" x14ac:dyDescent="0.25">
      <c r="A78" s="10"/>
      <c r="B78" s="10"/>
      <c r="C78" s="10"/>
      <c r="D78" s="63"/>
      <c r="E78" s="10"/>
    </row>
    <row r="79" spans="1:5" x14ac:dyDescent="0.25">
      <c r="A79" s="10"/>
      <c r="B79" s="10"/>
      <c r="C79" s="10"/>
      <c r="D79" s="63"/>
      <c r="E79" s="10"/>
    </row>
    <row r="80" spans="1:5" x14ac:dyDescent="0.25">
      <c r="A80" s="10"/>
      <c r="B80" s="10"/>
      <c r="C80" s="10"/>
      <c r="D80" s="63"/>
      <c r="E80" s="10"/>
    </row>
    <row r="81" spans="1:5" x14ac:dyDescent="0.25">
      <c r="A81" s="10"/>
      <c r="B81" s="10"/>
      <c r="C81" s="10"/>
      <c r="D81" s="63"/>
      <c r="E81" s="10"/>
    </row>
    <row r="82" spans="1:5" x14ac:dyDescent="0.25">
      <c r="A82" s="10"/>
      <c r="B82" s="10"/>
      <c r="C82" s="10"/>
      <c r="D82" s="63"/>
      <c r="E82" s="10"/>
    </row>
    <row r="83" spans="1:5" x14ac:dyDescent="0.25">
      <c r="A83" s="10"/>
      <c r="B83" s="10"/>
      <c r="C83" s="10"/>
      <c r="D83" s="63"/>
      <c r="E83" s="10"/>
    </row>
    <row r="84" spans="1:5" x14ac:dyDescent="0.25">
      <c r="A84" s="10"/>
      <c r="B84" s="10"/>
      <c r="C84" s="10"/>
      <c r="D84" s="63"/>
      <c r="E84" s="10"/>
    </row>
    <row r="85" spans="1:5" x14ac:dyDescent="0.25">
      <c r="A85" s="10"/>
      <c r="B85" s="10"/>
      <c r="C85" s="10"/>
      <c r="D85" s="63"/>
      <c r="E85" s="10"/>
    </row>
    <row r="86" spans="1:5" x14ac:dyDescent="0.25">
      <c r="A86" s="10"/>
      <c r="B86" s="10"/>
      <c r="C86" s="10"/>
      <c r="D86" s="63"/>
      <c r="E86" s="10"/>
    </row>
    <row r="87" spans="1:5" x14ac:dyDescent="0.25">
      <c r="A87" s="10"/>
      <c r="B87" s="10"/>
      <c r="C87" s="10"/>
      <c r="D87" s="63"/>
      <c r="E87" s="10"/>
    </row>
    <row r="88" spans="1:5" x14ac:dyDescent="0.25">
      <c r="A88" s="10"/>
      <c r="B88" s="10"/>
      <c r="C88" s="10"/>
      <c r="D88" s="63"/>
      <c r="E88" s="10"/>
    </row>
    <row r="89" spans="1:5" x14ac:dyDescent="0.25">
      <c r="A89" s="10"/>
      <c r="B89" s="10"/>
      <c r="C89" s="10"/>
      <c r="D89" s="63"/>
      <c r="E89" s="10"/>
    </row>
    <row r="90" spans="1:5" x14ac:dyDescent="0.25">
      <c r="A90" s="10"/>
      <c r="B90" s="10"/>
      <c r="C90" s="10"/>
      <c r="D90" s="63"/>
      <c r="E90" s="10"/>
    </row>
    <row r="91" spans="1:5" x14ac:dyDescent="0.25">
      <c r="A91" s="10"/>
      <c r="B91" s="10"/>
      <c r="C91" s="10"/>
      <c r="D91" s="63"/>
      <c r="E91" s="10"/>
    </row>
    <row r="92" spans="1:5" x14ac:dyDescent="0.25">
      <c r="A92" s="10"/>
      <c r="B92" s="10"/>
      <c r="C92" s="10"/>
      <c r="D92" s="63"/>
      <c r="E92" s="10"/>
    </row>
    <row r="93" spans="1:5" x14ac:dyDescent="0.25">
      <c r="A93" s="10"/>
      <c r="B93" s="10"/>
      <c r="C93" s="10"/>
      <c r="D93" s="63"/>
      <c r="E93" s="10"/>
    </row>
    <row r="94" spans="1:5" x14ac:dyDescent="0.25">
      <c r="A94" s="10"/>
      <c r="B94" s="10"/>
      <c r="C94" s="10"/>
      <c r="D94" s="63"/>
      <c r="E94" s="10"/>
    </row>
    <row r="95" spans="1:5" x14ac:dyDescent="0.25">
      <c r="A95" s="10"/>
      <c r="B95" s="10"/>
      <c r="C95" s="10"/>
      <c r="D95" s="63"/>
      <c r="E95" s="10"/>
    </row>
    <row r="96" spans="1:5" x14ac:dyDescent="0.25">
      <c r="A96" s="10"/>
      <c r="B96" s="10"/>
      <c r="C96" s="10"/>
      <c r="D96" s="63"/>
      <c r="E96" s="10"/>
    </row>
    <row r="97" spans="1:5" x14ac:dyDescent="0.25">
      <c r="A97" s="10"/>
      <c r="B97" s="10"/>
      <c r="C97" s="10"/>
      <c r="D97" s="63"/>
      <c r="E97" s="10"/>
    </row>
    <row r="98" spans="1:5" x14ac:dyDescent="0.25">
      <c r="A98" s="10"/>
      <c r="B98" s="10"/>
      <c r="C98" s="10"/>
      <c r="D98" s="63"/>
      <c r="E98" s="10"/>
    </row>
    <row r="99" spans="1:5" x14ac:dyDescent="0.25">
      <c r="A99" s="10"/>
      <c r="B99" s="10"/>
      <c r="C99" s="10"/>
      <c r="D99" s="63"/>
      <c r="E99" s="10"/>
    </row>
    <row r="100" spans="1:5" x14ac:dyDescent="0.25">
      <c r="A100" s="10"/>
      <c r="B100" s="10"/>
      <c r="C100" s="10"/>
      <c r="D100" s="63"/>
      <c r="E100" s="10"/>
    </row>
    <row r="101" spans="1:5" x14ac:dyDescent="0.25">
      <c r="A101" s="10"/>
      <c r="B101" s="10"/>
      <c r="C101" s="10"/>
      <c r="D101" s="63"/>
      <c r="E101" s="10"/>
    </row>
    <row r="102" spans="1:5" x14ac:dyDescent="0.25">
      <c r="A102" s="10"/>
      <c r="B102" s="10"/>
      <c r="C102" s="10"/>
      <c r="D102" s="63"/>
      <c r="E102" s="10"/>
    </row>
    <row r="103" spans="1:5" x14ac:dyDescent="0.25">
      <c r="A103" s="10"/>
      <c r="B103" s="10"/>
      <c r="C103" s="10"/>
      <c r="D103" s="63"/>
      <c r="E103" s="10"/>
    </row>
    <row r="104" spans="1:5" x14ac:dyDescent="0.25">
      <c r="A104" s="10"/>
      <c r="B104" s="10"/>
      <c r="C104" s="10"/>
      <c r="D104" s="63"/>
      <c r="E104" s="10"/>
    </row>
    <row r="105" spans="1:5" x14ac:dyDescent="0.25">
      <c r="A105" s="10"/>
      <c r="B105" s="10"/>
      <c r="C105" s="10"/>
      <c r="D105" s="63"/>
      <c r="E105" s="10"/>
    </row>
    <row r="106" spans="1:5" x14ac:dyDescent="0.25">
      <c r="A106" s="10"/>
      <c r="B106" s="10"/>
      <c r="C106" s="10"/>
      <c r="D106" s="63"/>
      <c r="E106" s="10"/>
    </row>
    <row r="107" spans="1:5" x14ac:dyDescent="0.25">
      <c r="A107" s="10"/>
      <c r="B107" s="10"/>
      <c r="C107" s="10"/>
      <c r="D107" s="63"/>
      <c r="E107" s="10"/>
    </row>
    <row r="108" spans="1:5" x14ac:dyDescent="0.25">
      <c r="A108" s="10"/>
      <c r="B108" s="10"/>
      <c r="C108" s="10"/>
      <c r="D108" s="63"/>
      <c r="E108" s="10"/>
    </row>
    <row r="109" spans="1:5" x14ac:dyDescent="0.25">
      <c r="A109" s="10"/>
      <c r="B109" s="10"/>
      <c r="C109" s="10"/>
      <c r="D109" s="63"/>
      <c r="E109" s="10"/>
    </row>
    <row r="110" spans="1:5" x14ac:dyDescent="0.25">
      <c r="A110" s="10"/>
      <c r="B110" s="10"/>
      <c r="C110" s="10"/>
      <c r="D110" s="63"/>
      <c r="E110" s="10"/>
    </row>
    <row r="111" spans="1:5" x14ac:dyDescent="0.25">
      <c r="A111" s="10"/>
      <c r="B111" s="10"/>
      <c r="C111" s="10"/>
      <c r="D111" s="63"/>
      <c r="E111" s="10"/>
    </row>
    <row r="112" spans="1:5" x14ac:dyDescent="0.25">
      <c r="A112" s="10"/>
      <c r="B112" s="10"/>
      <c r="C112" s="10"/>
      <c r="D112" s="63"/>
      <c r="E112" s="10"/>
    </row>
    <row r="113" spans="1:5" x14ac:dyDescent="0.25">
      <c r="A113" s="10"/>
      <c r="B113" s="10"/>
      <c r="C113" s="10"/>
      <c r="D113" s="63"/>
      <c r="E113" s="10"/>
    </row>
    <row r="114" spans="1:5" x14ac:dyDescent="0.25">
      <c r="A114" s="10"/>
      <c r="B114" s="10"/>
      <c r="C114" s="10"/>
      <c r="D114" s="63"/>
      <c r="E114" s="10"/>
    </row>
    <row r="115" spans="1:5" x14ac:dyDescent="0.25">
      <c r="A115" s="10"/>
      <c r="B115" s="10"/>
      <c r="C115" s="10"/>
      <c r="D115" s="63"/>
      <c r="E115" s="10"/>
    </row>
    <row r="116" spans="1:5" x14ac:dyDescent="0.25">
      <c r="A116" s="10"/>
      <c r="B116" s="10"/>
      <c r="C116" s="10"/>
      <c r="D116" s="63"/>
      <c r="E116" s="10"/>
    </row>
    <row r="117" spans="1:5" x14ac:dyDescent="0.25">
      <c r="A117" s="10"/>
      <c r="B117" s="10"/>
      <c r="C117" s="10"/>
      <c r="D117" s="63"/>
      <c r="E117" s="10"/>
    </row>
    <row r="118" spans="1:5" x14ac:dyDescent="0.25">
      <c r="A118" s="10"/>
      <c r="B118" s="10"/>
      <c r="C118" s="10"/>
      <c r="D118" s="63"/>
      <c r="E118" s="10"/>
    </row>
    <row r="119" spans="1:5" x14ac:dyDescent="0.25">
      <c r="A119" s="10"/>
      <c r="B119" s="10"/>
      <c r="C119" s="10"/>
      <c r="D119" s="63"/>
      <c r="E119" s="10"/>
    </row>
    <row r="120" spans="1:5" x14ac:dyDescent="0.25">
      <c r="A120" s="10"/>
      <c r="B120" s="10"/>
      <c r="C120" s="10"/>
      <c r="D120" s="63"/>
      <c r="E120" s="10"/>
    </row>
    <row r="121" spans="1:5" x14ac:dyDescent="0.25">
      <c r="A121" s="10"/>
      <c r="B121" s="10"/>
      <c r="C121" s="10"/>
      <c r="D121" s="63"/>
      <c r="E121" s="10"/>
    </row>
    <row r="122" spans="1:5" x14ac:dyDescent="0.25">
      <c r="A122" s="10"/>
      <c r="B122" s="10"/>
      <c r="C122" s="10"/>
      <c r="D122" s="63"/>
      <c r="E122" s="10"/>
    </row>
    <row r="123" spans="1:5" x14ac:dyDescent="0.25">
      <c r="A123" s="10"/>
      <c r="B123" s="10"/>
      <c r="C123" s="10"/>
      <c r="D123" s="63"/>
      <c r="E123" s="10"/>
    </row>
    <row r="124" spans="1:5" x14ac:dyDescent="0.25">
      <c r="A124" s="10"/>
      <c r="B124" s="10"/>
      <c r="C124" s="10"/>
      <c r="D124" s="63"/>
      <c r="E124" s="10"/>
    </row>
    <row r="125" spans="1:5" x14ac:dyDescent="0.25">
      <c r="A125" s="10"/>
      <c r="B125" s="10"/>
      <c r="C125" s="10"/>
      <c r="D125" s="63"/>
      <c r="E125" s="10"/>
    </row>
    <row r="126" spans="1:5" x14ac:dyDescent="0.25">
      <c r="A126" s="10"/>
      <c r="B126" s="10"/>
      <c r="C126" s="10"/>
      <c r="D126" s="63"/>
      <c r="E126" s="10"/>
    </row>
    <row r="127" spans="1:5" x14ac:dyDescent="0.25">
      <c r="A127" s="10"/>
      <c r="B127" s="10"/>
      <c r="C127" s="10"/>
      <c r="D127" s="63"/>
      <c r="E127" s="10"/>
    </row>
    <row r="128" spans="1:5" x14ac:dyDescent="0.25">
      <c r="A128" s="10"/>
      <c r="B128" s="10"/>
      <c r="C128" s="10"/>
      <c r="D128" s="63"/>
      <c r="E128" s="10"/>
    </row>
    <row r="129" spans="1:5" x14ac:dyDescent="0.25">
      <c r="A129" s="10"/>
      <c r="B129" s="10"/>
      <c r="C129" s="10"/>
      <c r="D129" s="63"/>
      <c r="E129" s="10"/>
    </row>
    <row r="130" spans="1:5" x14ac:dyDescent="0.25">
      <c r="A130" s="10"/>
      <c r="B130" s="10"/>
      <c r="C130" s="10"/>
      <c r="D130" s="63"/>
      <c r="E130" s="10"/>
    </row>
    <row r="131" spans="1:5" x14ac:dyDescent="0.25">
      <c r="A131" s="10"/>
      <c r="B131" s="10"/>
      <c r="C131" s="10"/>
      <c r="D131" s="63"/>
      <c r="E131" s="10"/>
    </row>
    <row r="132" spans="1:5" x14ac:dyDescent="0.25">
      <c r="A132" s="10"/>
      <c r="B132" s="10"/>
      <c r="C132" s="10"/>
      <c r="D132" s="63"/>
      <c r="E132" s="10"/>
    </row>
    <row r="133" spans="1:5" x14ac:dyDescent="0.25">
      <c r="A133" s="10"/>
      <c r="B133" s="10"/>
      <c r="C133" s="10"/>
      <c r="D133" s="63"/>
      <c r="E133" s="10"/>
    </row>
    <row r="134" spans="1:5" x14ac:dyDescent="0.25">
      <c r="A134" s="10"/>
      <c r="B134" s="10"/>
      <c r="C134" s="10"/>
      <c r="D134" s="63"/>
      <c r="E134" s="10"/>
    </row>
    <row r="135" spans="1:5" x14ac:dyDescent="0.25">
      <c r="A135" s="10"/>
      <c r="B135" s="10"/>
      <c r="C135" s="10"/>
      <c r="D135" s="63"/>
      <c r="E135" s="10"/>
    </row>
    <row r="136" spans="1:5" x14ac:dyDescent="0.25">
      <c r="A136" s="10"/>
      <c r="B136" s="10"/>
      <c r="C136" s="10"/>
      <c r="D136" s="63"/>
      <c r="E136" s="10"/>
    </row>
    <row r="137" spans="1:5" x14ac:dyDescent="0.25">
      <c r="A137" s="10"/>
      <c r="B137" s="10"/>
      <c r="C137" s="10"/>
      <c r="D137" s="63"/>
      <c r="E137" s="10"/>
    </row>
    <row r="138" spans="1:5" x14ac:dyDescent="0.25">
      <c r="A138" s="10"/>
      <c r="B138" s="10"/>
      <c r="C138" s="10"/>
      <c r="D138" s="63"/>
      <c r="E138" s="10"/>
    </row>
    <row r="139" spans="1:5" x14ac:dyDescent="0.25">
      <c r="A139" s="10"/>
      <c r="B139" s="10"/>
      <c r="C139" s="10"/>
      <c r="D139" s="63"/>
      <c r="E139" s="10"/>
    </row>
    <row r="140" spans="1:5" x14ac:dyDescent="0.25">
      <c r="A140" s="10"/>
      <c r="B140" s="10"/>
      <c r="C140" s="10"/>
      <c r="D140" s="63"/>
      <c r="E140" s="10"/>
    </row>
    <row r="141" spans="1:5" x14ac:dyDescent="0.25">
      <c r="A141" s="10"/>
      <c r="B141" s="10"/>
      <c r="C141" s="10"/>
      <c r="D141" s="63"/>
      <c r="E141" s="10"/>
    </row>
    <row r="142" spans="1:5" x14ac:dyDescent="0.25">
      <c r="A142" s="10"/>
      <c r="B142" s="10"/>
      <c r="C142" s="10"/>
      <c r="D142" s="63"/>
      <c r="E142" s="10"/>
    </row>
    <row r="143" spans="1:5" x14ac:dyDescent="0.25">
      <c r="A143" s="10"/>
      <c r="B143" s="10"/>
      <c r="C143" s="10"/>
      <c r="D143" s="63"/>
      <c r="E143" s="10"/>
    </row>
    <row r="144" spans="1:5" x14ac:dyDescent="0.25">
      <c r="A144" s="10"/>
      <c r="B144" s="10"/>
      <c r="C144" s="10"/>
      <c r="D144" s="63"/>
      <c r="E144" s="10"/>
    </row>
    <row r="145" spans="1:5" x14ac:dyDescent="0.25">
      <c r="A145" s="10"/>
      <c r="B145" s="10"/>
      <c r="C145" s="10"/>
      <c r="D145" s="63"/>
      <c r="E145" s="10"/>
    </row>
    <row r="146" spans="1:5" x14ac:dyDescent="0.25">
      <c r="A146" s="10"/>
      <c r="B146" s="10"/>
      <c r="C146" s="10"/>
      <c r="D146" s="63"/>
      <c r="E146" s="10"/>
    </row>
    <row r="147" spans="1:5" x14ac:dyDescent="0.25">
      <c r="A147" s="10"/>
      <c r="B147" s="10"/>
      <c r="C147" s="10"/>
      <c r="D147" s="63"/>
      <c r="E147" s="10"/>
    </row>
    <row r="148" spans="1:5" x14ac:dyDescent="0.25">
      <c r="A148" s="10"/>
      <c r="B148" s="10"/>
      <c r="C148" s="10"/>
      <c r="D148" s="63"/>
      <c r="E148" s="10"/>
    </row>
    <row r="149" spans="1:5" x14ac:dyDescent="0.25">
      <c r="A149" s="10"/>
      <c r="B149" s="10"/>
      <c r="C149" s="10"/>
      <c r="D149" s="63"/>
      <c r="E149" s="10"/>
    </row>
    <row r="150" spans="1:5" x14ac:dyDescent="0.25">
      <c r="A150" s="10"/>
      <c r="B150" s="10"/>
      <c r="C150" s="10"/>
      <c r="D150" s="63"/>
      <c r="E150" s="10"/>
    </row>
    <row r="151" spans="1:5" x14ac:dyDescent="0.25">
      <c r="A151" s="10"/>
      <c r="B151" s="10"/>
      <c r="C151" s="10"/>
      <c r="D151" s="63"/>
      <c r="E151" s="10"/>
    </row>
    <row r="152" spans="1:5" x14ac:dyDescent="0.25">
      <c r="A152" s="10"/>
      <c r="B152" s="10"/>
      <c r="C152" s="10"/>
      <c r="D152" s="63"/>
      <c r="E152" s="10"/>
    </row>
    <row r="153" spans="1:5" x14ac:dyDescent="0.25">
      <c r="A153" s="10"/>
      <c r="B153" s="10"/>
      <c r="C153" s="10"/>
      <c r="D153" s="63"/>
      <c r="E153" s="10"/>
    </row>
    <row r="154" spans="1:5" x14ac:dyDescent="0.25">
      <c r="A154" s="10"/>
      <c r="B154" s="10"/>
      <c r="C154" s="10"/>
      <c r="D154" s="63"/>
      <c r="E154" s="10"/>
    </row>
    <row r="155" spans="1:5" x14ac:dyDescent="0.25">
      <c r="A155" s="10"/>
      <c r="B155" s="10"/>
      <c r="C155" s="10"/>
      <c r="D155" s="63"/>
      <c r="E155" s="10"/>
    </row>
    <row r="156" spans="1:5" x14ac:dyDescent="0.25">
      <c r="A156" s="10"/>
      <c r="B156" s="10"/>
      <c r="C156" s="10"/>
      <c r="D156" s="63"/>
      <c r="E156" s="10"/>
    </row>
    <row r="157" spans="1:5" x14ac:dyDescent="0.25">
      <c r="A157" s="10"/>
      <c r="B157" s="10"/>
      <c r="C157" s="10"/>
      <c r="D157" s="63"/>
      <c r="E157" s="10"/>
    </row>
    <row r="158" spans="1:5" x14ac:dyDescent="0.25">
      <c r="A158" s="10"/>
      <c r="B158" s="10"/>
      <c r="C158" s="10"/>
      <c r="D158" s="63"/>
      <c r="E158" s="10"/>
    </row>
    <row r="159" spans="1:5" x14ac:dyDescent="0.25">
      <c r="A159" s="10"/>
      <c r="B159" s="10"/>
      <c r="C159" s="10"/>
      <c r="D159" s="63"/>
      <c r="E159" s="10"/>
    </row>
    <row r="160" spans="1:5" x14ac:dyDescent="0.25">
      <c r="A160" s="10"/>
      <c r="B160" s="10"/>
      <c r="C160" s="10"/>
      <c r="D160" s="63"/>
      <c r="E160" s="10"/>
    </row>
    <row r="161" spans="1:5" x14ac:dyDescent="0.25">
      <c r="A161" s="10"/>
      <c r="B161" s="10"/>
      <c r="C161" s="10"/>
      <c r="D161" s="63"/>
      <c r="E161" s="10"/>
    </row>
    <row r="162" spans="1:5" x14ac:dyDescent="0.25">
      <c r="A162" s="10"/>
      <c r="B162" s="10"/>
      <c r="C162" s="10"/>
      <c r="D162" s="63"/>
      <c r="E162" s="10"/>
    </row>
    <row r="163" spans="1:5" x14ac:dyDescent="0.25">
      <c r="A163" s="10"/>
      <c r="B163" s="10"/>
      <c r="C163" s="10"/>
      <c r="D163" s="63"/>
      <c r="E163" s="10"/>
    </row>
    <row r="164" spans="1:5" x14ac:dyDescent="0.25">
      <c r="A164" s="10"/>
      <c r="B164" s="10"/>
      <c r="C164" s="10"/>
      <c r="D164" s="63"/>
      <c r="E164" s="10"/>
    </row>
    <row r="165" spans="1:5" x14ac:dyDescent="0.25">
      <c r="A165" s="10"/>
      <c r="B165" s="10"/>
      <c r="C165" s="10"/>
      <c r="D165" s="63"/>
      <c r="E165" s="10"/>
    </row>
    <row r="166" spans="1:5" x14ac:dyDescent="0.25">
      <c r="A166" s="10"/>
      <c r="B166" s="10"/>
      <c r="C166" s="10"/>
      <c r="D166" s="63"/>
      <c r="E166" s="10"/>
    </row>
    <row r="167" spans="1:5" x14ac:dyDescent="0.25">
      <c r="A167" s="10"/>
      <c r="B167" s="10"/>
      <c r="C167" s="10"/>
      <c r="D167" s="63"/>
      <c r="E167" s="10"/>
    </row>
    <row r="168" spans="1:5" x14ac:dyDescent="0.25">
      <c r="A168" s="10"/>
      <c r="B168" s="10"/>
      <c r="C168" s="10"/>
      <c r="D168" s="63"/>
      <c r="E168" s="10"/>
    </row>
    <row r="169" spans="1:5" x14ac:dyDescent="0.25">
      <c r="A169" s="10"/>
      <c r="B169" s="10"/>
      <c r="C169" s="10"/>
      <c r="D169" s="63"/>
      <c r="E169" s="10"/>
    </row>
    <row r="170" spans="1:5" x14ac:dyDescent="0.25">
      <c r="A170" s="10"/>
      <c r="B170" s="10"/>
      <c r="C170" s="10"/>
      <c r="D170" s="63"/>
      <c r="E170" s="10"/>
    </row>
    <row r="171" spans="1:5" x14ac:dyDescent="0.25">
      <c r="A171" s="10"/>
      <c r="B171" s="10"/>
      <c r="C171" s="10"/>
      <c r="D171" s="63"/>
      <c r="E171" s="10"/>
    </row>
    <row r="172" spans="1:5" x14ac:dyDescent="0.25">
      <c r="A172" s="10"/>
      <c r="B172" s="10"/>
      <c r="C172" s="10"/>
      <c r="D172" s="63"/>
      <c r="E172" s="10"/>
    </row>
    <row r="173" spans="1:5" x14ac:dyDescent="0.25">
      <c r="A173" s="10"/>
      <c r="B173" s="10"/>
      <c r="C173" s="10"/>
      <c r="D173" s="63"/>
      <c r="E173" s="10"/>
    </row>
    <row r="174" spans="1:5" x14ac:dyDescent="0.25">
      <c r="A174" s="10"/>
      <c r="B174" s="10"/>
      <c r="C174" s="10"/>
      <c r="D174" s="63"/>
      <c r="E174" s="10"/>
    </row>
    <row r="175" spans="1:5" x14ac:dyDescent="0.25">
      <c r="A175" s="10"/>
      <c r="B175" s="10"/>
      <c r="C175" s="10"/>
      <c r="D175" s="63"/>
      <c r="E175" s="10"/>
    </row>
    <row r="176" spans="1:5" x14ac:dyDescent="0.25">
      <c r="A176" s="10"/>
      <c r="B176" s="10"/>
      <c r="C176" s="10"/>
      <c r="D176" s="63"/>
      <c r="E176" s="10"/>
    </row>
    <row r="177" spans="1:5" x14ac:dyDescent="0.25">
      <c r="A177" s="10"/>
      <c r="B177" s="10"/>
      <c r="C177" s="10"/>
      <c r="D177" s="63"/>
      <c r="E177" s="10"/>
    </row>
    <row r="178" spans="1:5" x14ac:dyDescent="0.25">
      <c r="A178" s="10"/>
      <c r="B178" s="10"/>
      <c r="C178" s="10"/>
      <c r="D178" s="63"/>
      <c r="E178" s="10"/>
    </row>
    <row r="179" spans="1:5" x14ac:dyDescent="0.25">
      <c r="A179" s="10"/>
      <c r="B179" s="10"/>
      <c r="C179" s="10"/>
      <c r="D179" s="63"/>
      <c r="E179" s="10"/>
    </row>
    <row r="180" spans="1:5" x14ac:dyDescent="0.25">
      <c r="A180" s="10"/>
      <c r="B180" s="10"/>
      <c r="C180" s="10"/>
      <c r="D180" s="63"/>
      <c r="E180" s="10"/>
    </row>
    <row r="181" spans="1:5" x14ac:dyDescent="0.25">
      <c r="A181" s="10"/>
      <c r="B181" s="10"/>
      <c r="C181" s="10"/>
      <c r="D181" s="63"/>
      <c r="E181" s="10"/>
    </row>
    <row r="182" spans="1:5" x14ac:dyDescent="0.25">
      <c r="A182" s="10"/>
      <c r="B182" s="10"/>
      <c r="C182" s="10"/>
      <c r="D182" s="63"/>
      <c r="E182" s="10"/>
    </row>
    <row r="183" spans="1:5" x14ac:dyDescent="0.25">
      <c r="A183" s="10"/>
      <c r="B183" s="10"/>
      <c r="C183" s="10"/>
      <c r="D183" s="63"/>
      <c r="E183" s="10"/>
    </row>
    <row r="184" spans="1:5" x14ac:dyDescent="0.25">
      <c r="A184" s="10"/>
      <c r="B184" s="10"/>
      <c r="C184" s="10"/>
      <c r="D184" s="63"/>
      <c r="E184" s="10"/>
    </row>
    <row r="185" spans="1:5" x14ac:dyDescent="0.25">
      <c r="A185" s="10"/>
      <c r="B185" s="10"/>
      <c r="C185" s="10"/>
      <c r="D185" s="63"/>
      <c r="E185" s="10"/>
    </row>
    <row r="186" spans="1:5" x14ac:dyDescent="0.25">
      <c r="A186" s="10"/>
      <c r="B186" s="10"/>
      <c r="C186" s="10"/>
      <c r="D186" s="63"/>
      <c r="E186" s="10"/>
    </row>
    <row r="187" spans="1:5" x14ac:dyDescent="0.25">
      <c r="A187" s="10"/>
      <c r="B187" s="10"/>
      <c r="C187" s="10"/>
      <c r="D187" s="63"/>
      <c r="E187" s="10"/>
    </row>
    <row r="188" spans="1:5" x14ac:dyDescent="0.25">
      <c r="A188" s="10"/>
      <c r="B188" s="10"/>
      <c r="C188" s="10"/>
      <c r="D188" s="63"/>
      <c r="E188" s="10"/>
    </row>
    <row r="189" spans="1:5" x14ac:dyDescent="0.25">
      <c r="A189" s="10"/>
      <c r="B189" s="10"/>
      <c r="C189" s="10"/>
      <c r="D189" s="63"/>
      <c r="E189" s="10"/>
    </row>
    <row r="190" spans="1:5" x14ac:dyDescent="0.25">
      <c r="A190" s="10"/>
      <c r="B190" s="10"/>
      <c r="C190" s="10"/>
      <c r="D190" s="63"/>
      <c r="E190" s="10"/>
    </row>
    <row r="191" spans="1:5" x14ac:dyDescent="0.25">
      <c r="A191" s="10"/>
      <c r="B191" s="10"/>
      <c r="C191" s="10"/>
      <c r="D191" s="63"/>
      <c r="E191" s="10"/>
    </row>
    <row r="192" spans="1:5" x14ac:dyDescent="0.25">
      <c r="A192" s="10"/>
      <c r="B192" s="10"/>
      <c r="C192" s="10"/>
      <c r="D192" s="63"/>
      <c r="E192" s="10"/>
    </row>
    <row r="193" spans="1:5" x14ac:dyDescent="0.25">
      <c r="A193" s="10"/>
      <c r="B193" s="10"/>
      <c r="C193" s="10"/>
      <c r="D193" s="63"/>
      <c r="E193" s="10"/>
    </row>
    <row r="194" spans="1:5" x14ac:dyDescent="0.25">
      <c r="A194" s="10"/>
      <c r="B194" s="10"/>
      <c r="C194" s="10"/>
      <c r="D194" s="63"/>
      <c r="E194" s="10"/>
    </row>
    <row r="195" spans="1:5" x14ac:dyDescent="0.25">
      <c r="A195" s="10"/>
      <c r="B195" s="10"/>
      <c r="C195" s="10"/>
      <c r="D195" s="63"/>
      <c r="E195" s="10"/>
    </row>
    <row r="196" spans="1:5" x14ac:dyDescent="0.25">
      <c r="A196" s="10"/>
      <c r="B196" s="10"/>
      <c r="C196" s="10"/>
      <c r="D196" s="63"/>
      <c r="E196" s="10"/>
    </row>
    <row r="197" spans="1:5" x14ac:dyDescent="0.25">
      <c r="A197" s="10"/>
      <c r="B197" s="10"/>
      <c r="C197" s="10"/>
      <c r="D197" s="63"/>
      <c r="E197" s="10"/>
    </row>
    <row r="198" spans="1:5" x14ac:dyDescent="0.25">
      <c r="A198" s="10"/>
      <c r="B198" s="10"/>
      <c r="C198" s="10"/>
      <c r="D198" s="63"/>
      <c r="E198" s="10"/>
    </row>
    <row r="199" spans="1:5" x14ac:dyDescent="0.25">
      <c r="A199" s="10"/>
      <c r="B199" s="10"/>
      <c r="C199" s="10"/>
      <c r="D199" s="63"/>
      <c r="E199" s="10"/>
    </row>
    <row r="200" spans="1:5" x14ac:dyDescent="0.25">
      <c r="A200" s="10"/>
      <c r="B200" s="10"/>
      <c r="C200" s="10"/>
      <c r="D200" s="63"/>
      <c r="E200" s="10"/>
    </row>
    <row r="201" spans="1:5" x14ac:dyDescent="0.25">
      <c r="A201" s="10"/>
      <c r="B201" s="10"/>
      <c r="C201" s="10"/>
      <c r="D201" s="63"/>
      <c r="E201" s="10"/>
    </row>
    <row r="202" spans="1:5" x14ac:dyDescent="0.25">
      <c r="A202" s="10"/>
      <c r="B202" s="10"/>
      <c r="C202" s="10"/>
      <c r="D202" s="63"/>
      <c r="E202" s="10"/>
    </row>
    <row r="203" spans="1:5" x14ac:dyDescent="0.25">
      <c r="A203" s="10"/>
      <c r="B203" s="10"/>
      <c r="C203" s="10"/>
      <c r="D203" s="63"/>
      <c r="E203" s="10"/>
    </row>
    <row r="204" spans="1:5" x14ac:dyDescent="0.25">
      <c r="A204" s="10"/>
      <c r="B204" s="10"/>
      <c r="C204" s="10"/>
      <c r="D204" s="63"/>
      <c r="E204" s="10"/>
    </row>
    <row r="205" spans="1:5" x14ac:dyDescent="0.25">
      <c r="A205" s="10"/>
      <c r="B205" s="10"/>
      <c r="C205" s="10"/>
      <c r="D205" s="63"/>
      <c r="E205" s="10"/>
    </row>
    <row r="206" spans="1:5" x14ac:dyDescent="0.25">
      <c r="A206" s="10"/>
      <c r="B206" s="10"/>
      <c r="C206" s="10"/>
      <c r="D206" s="63"/>
      <c r="E206" s="10"/>
    </row>
    <row r="207" spans="1:5" x14ac:dyDescent="0.25">
      <c r="A207" s="10"/>
      <c r="B207" s="10"/>
      <c r="C207" s="10"/>
      <c r="D207" s="63"/>
      <c r="E207" s="10"/>
    </row>
    <row r="208" spans="1:5" x14ac:dyDescent="0.25">
      <c r="A208" s="10"/>
      <c r="B208" s="10"/>
      <c r="C208" s="10"/>
      <c r="D208" s="63"/>
      <c r="E208" s="10"/>
    </row>
    <row r="209" spans="1:5" x14ac:dyDescent="0.25">
      <c r="A209" s="10"/>
      <c r="B209" s="10"/>
      <c r="C209" s="10"/>
      <c r="D209" s="63"/>
      <c r="E209" s="10"/>
    </row>
    <row r="210" spans="1:5" x14ac:dyDescent="0.25">
      <c r="A210" s="10"/>
      <c r="B210" s="10"/>
      <c r="C210" s="10"/>
      <c r="D210" s="63"/>
      <c r="E210" s="10"/>
    </row>
    <row r="211" spans="1:5" x14ac:dyDescent="0.25">
      <c r="A211" s="10"/>
      <c r="B211" s="10"/>
      <c r="C211" s="10"/>
      <c r="D211" s="63"/>
      <c r="E211" s="10"/>
    </row>
    <row r="212" spans="1:5" x14ac:dyDescent="0.25">
      <c r="A212" s="10"/>
      <c r="B212" s="10"/>
      <c r="C212" s="10"/>
      <c r="D212" s="63"/>
      <c r="E212" s="10"/>
    </row>
    <row r="213" spans="1:5" x14ac:dyDescent="0.25">
      <c r="A213" s="10"/>
      <c r="B213" s="10"/>
      <c r="C213" s="10"/>
      <c r="D213" s="63"/>
      <c r="E213" s="10"/>
    </row>
    <row r="214" spans="1:5" x14ac:dyDescent="0.25">
      <c r="A214" s="10"/>
      <c r="B214" s="10"/>
      <c r="C214" s="10"/>
      <c r="D214" s="63"/>
      <c r="E214" s="10"/>
    </row>
    <row r="215" spans="1:5" x14ac:dyDescent="0.25">
      <c r="A215" s="10"/>
      <c r="B215" s="10"/>
      <c r="C215" s="10"/>
      <c r="D215" s="63"/>
      <c r="E215" s="10"/>
    </row>
    <row r="216" spans="1:5" x14ac:dyDescent="0.25">
      <c r="A216" s="10"/>
      <c r="B216" s="10"/>
      <c r="C216" s="10"/>
      <c r="D216" s="63"/>
      <c r="E216" s="10"/>
    </row>
    <row r="217" spans="1:5" x14ac:dyDescent="0.25">
      <c r="A217" s="10"/>
      <c r="B217" s="10"/>
      <c r="C217" s="10"/>
      <c r="D217" s="63"/>
      <c r="E217" s="10"/>
    </row>
    <row r="218" spans="1:5" x14ac:dyDescent="0.25">
      <c r="A218" s="10"/>
      <c r="B218" s="10"/>
      <c r="C218" s="10"/>
      <c r="D218" s="63"/>
      <c r="E218" s="10"/>
    </row>
    <row r="219" spans="1:5" x14ac:dyDescent="0.25">
      <c r="A219" s="10"/>
      <c r="B219" s="10"/>
      <c r="C219" s="10"/>
      <c r="D219" s="63"/>
      <c r="E219" s="10"/>
    </row>
    <row r="220" spans="1:5" x14ac:dyDescent="0.25">
      <c r="A220" s="10"/>
      <c r="B220" s="10"/>
      <c r="C220" s="10"/>
      <c r="D220" s="63"/>
      <c r="E220" s="10"/>
    </row>
    <row r="221" spans="1:5" x14ac:dyDescent="0.25">
      <c r="A221" s="10"/>
      <c r="B221" s="10"/>
      <c r="C221" s="10"/>
      <c r="D221" s="63"/>
      <c r="E221" s="10"/>
    </row>
    <row r="222" spans="1:5" x14ac:dyDescent="0.25">
      <c r="A222" s="10"/>
      <c r="B222" s="10"/>
      <c r="C222" s="10"/>
      <c r="D222" s="63"/>
      <c r="E222" s="10"/>
    </row>
    <row r="223" spans="1:5" x14ac:dyDescent="0.25">
      <c r="A223" s="10"/>
      <c r="B223" s="10"/>
      <c r="C223" s="10"/>
      <c r="D223" s="63"/>
      <c r="E223" s="10"/>
    </row>
    <row r="224" spans="1:5" x14ac:dyDescent="0.25">
      <c r="A224" s="10"/>
      <c r="B224" s="10"/>
      <c r="C224" s="10"/>
      <c r="D224" s="63"/>
      <c r="E224" s="10"/>
    </row>
    <row r="225" spans="1:5" x14ac:dyDescent="0.25">
      <c r="A225" s="10"/>
      <c r="B225" s="10"/>
      <c r="C225" s="10"/>
      <c r="D225" s="63"/>
      <c r="E225" s="10"/>
    </row>
    <row r="226" spans="1:5" x14ac:dyDescent="0.25">
      <c r="A226" s="10"/>
      <c r="B226" s="10"/>
      <c r="C226" s="10"/>
      <c r="D226" s="63"/>
      <c r="E226" s="10"/>
    </row>
    <row r="227" spans="1:5" x14ac:dyDescent="0.25">
      <c r="A227" s="10"/>
      <c r="B227" s="10"/>
      <c r="C227" s="10"/>
      <c r="D227" s="63"/>
      <c r="E227" s="10"/>
    </row>
    <row r="228" spans="1:5" x14ac:dyDescent="0.25">
      <c r="A228" s="10"/>
      <c r="B228" s="10"/>
      <c r="C228" s="10"/>
      <c r="D228" s="63"/>
      <c r="E228" s="10"/>
    </row>
    <row r="229" spans="1:5" x14ac:dyDescent="0.25">
      <c r="A229" s="10"/>
      <c r="B229" s="10"/>
      <c r="C229" s="10"/>
      <c r="D229" s="63"/>
      <c r="E229" s="10"/>
    </row>
    <row r="230" spans="1:5" x14ac:dyDescent="0.25">
      <c r="A230" s="10"/>
      <c r="B230" s="10"/>
      <c r="C230" s="10"/>
      <c r="D230" s="63"/>
      <c r="E230" s="10"/>
    </row>
    <row r="231" spans="1:5" x14ac:dyDescent="0.25">
      <c r="A231" s="10"/>
      <c r="B231" s="10"/>
      <c r="C231" s="10"/>
      <c r="D231" s="63"/>
      <c r="E231" s="10"/>
    </row>
    <row r="232" spans="1:5" x14ac:dyDescent="0.25">
      <c r="A232" s="10"/>
      <c r="B232" s="10"/>
      <c r="C232" s="10"/>
      <c r="D232" s="63"/>
      <c r="E232" s="10"/>
    </row>
    <row r="233" spans="1:5" x14ac:dyDescent="0.25">
      <c r="A233" s="10"/>
      <c r="B233" s="10"/>
      <c r="C233" s="10"/>
      <c r="D233" s="63"/>
      <c r="E233" s="10"/>
    </row>
    <row r="234" spans="1:5" x14ac:dyDescent="0.25">
      <c r="A234" s="10"/>
      <c r="B234" s="10"/>
      <c r="C234" s="10"/>
      <c r="D234" s="63"/>
      <c r="E234" s="10"/>
    </row>
    <row r="235" spans="1:5" x14ac:dyDescent="0.25">
      <c r="A235" s="10"/>
      <c r="B235" s="10"/>
      <c r="C235" s="10"/>
      <c r="D235" s="63"/>
      <c r="E235" s="10"/>
    </row>
    <row r="236" spans="1:5" x14ac:dyDescent="0.25">
      <c r="A236" s="10"/>
      <c r="B236" s="10"/>
      <c r="C236" s="10"/>
      <c r="D236" s="63"/>
      <c r="E236" s="10"/>
    </row>
    <row r="237" spans="1:5" x14ac:dyDescent="0.25">
      <c r="A237" s="10"/>
      <c r="B237" s="10"/>
      <c r="C237" s="10"/>
      <c r="D237" s="63"/>
      <c r="E237" s="10"/>
    </row>
    <row r="238" spans="1:5" x14ac:dyDescent="0.25">
      <c r="A238" s="10"/>
      <c r="B238" s="10"/>
      <c r="C238" s="10"/>
      <c r="D238" s="63"/>
      <c r="E238" s="10"/>
    </row>
    <row r="239" spans="1:5" x14ac:dyDescent="0.25">
      <c r="A239" s="10"/>
      <c r="B239" s="10"/>
      <c r="C239" s="10"/>
      <c r="D239" s="63"/>
      <c r="E239" s="10"/>
    </row>
    <row r="240" spans="1:5" x14ac:dyDescent="0.25">
      <c r="A240" s="10"/>
      <c r="B240" s="10"/>
      <c r="C240" s="10"/>
      <c r="D240" s="63"/>
      <c r="E240" s="10"/>
    </row>
    <row r="241" spans="1:5" x14ac:dyDescent="0.25">
      <c r="A241" s="10"/>
      <c r="B241" s="10"/>
      <c r="C241" s="10"/>
      <c r="D241" s="63"/>
      <c r="E241" s="10"/>
    </row>
    <row r="242" spans="1:5" x14ac:dyDescent="0.25">
      <c r="A242" s="10"/>
      <c r="B242" s="10"/>
      <c r="C242" s="10"/>
      <c r="D242" s="63"/>
      <c r="E242" s="10"/>
    </row>
    <row r="243" spans="1:5" x14ac:dyDescent="0.25">
      <c r="A243" s="10"/>
      <c r="B243" s="10"/>
      <c r="C243" s="10"/>
      <c r="D243" s="63"/>
      <c r="E243" s="10"/>
    </row>
    <row r="244" spans="1:5" x14ac:dyDescent="0.25">
      <c r="A244" s="10"/>
      <c r="B244" s="10"/>
      <c r="C244" s="10"/>
      <c r="D244" s="63"/>
      <c r="E244" s="10"/>
    </row>
    <row r="245" spans="1:5" x14ac:dyDescent="0.25">
      <c r="A245" s="10"/>
      <c r="B245" s="10"/>
      <c r="C245" s="10"/>
      <c r="D245" s="63"/>
      <c r="E245" s="10"/>
    </row>
    <row r="246" spans="1:5" x14ac:dyDescent="0.25">
      <c r="A246" s="10"/>
      <c r="B246" s="10"/>
      <c r="C246" s="10"/>
      <c r="D246" s="63"/>
      <c r="E246" s="10"/>
    </row>
    <row r="247" spans="1:5" x14ac:dyDescent="0.25">
      <c r="A247" s="10"/>
      <c r="B247" s="10"/>
      <c r="C247" s="10"/>
      <c r="D247" s="63"/>
      <c r="E247" s="10"/>
    </row>
    <row r="248" spans="1:5" x14ac:dyDescent="0.25">
      <c r="A248" s="10"/>
      <c r="B248" s="10"/>
      <c r="C248" s="10"/>
      <c r="D248" s="63"/>
      <c r="E248" s="10"/>
    </row>
    <row r="249" spans="1:5" x14ac:dyDescent="0.25">
      <c r="A249" s="10"/>
      <c r="B249" s="10"/>
      <c r="C249" s="10"/>
      <c r="D249" s="63"/>
      <c r="E249" s="10"/>
    </row>
    <row r="250" spans="1:5" x14ac:dyDescent="0.25">
      <c r="A250" s="10"/>
      <c r="B250" s="10"/>
      <c r="C250" s="10"/>
      <c r="D250" s="63"/>
      <c r="E250" s="10"/>
    </row>
    <row r="251" spans="1:5" x14ac:dyDescent="0.25">
      <c r="A251" s="10"/>
      <c r="B251" s="10"/>
      <c r="C251" s="10"/>
      <c r="D251" s="63"/>
      <c r="E251" s="10"/>
    </row>
    <row r="252" spans="1:5" x14ac:dyDescent="0.25">
      <c r="A252" s="10"/>
      <c r="B252" s="10"/>
      <c r="C252" s="10"/>
      <c r="D252" s="63"/>
      <c r="E252" s="10"/>
    </row>
    <row r="253" spans="1:5" x14ac:dyDescent="0.25">
      <c r="A253" s="10"/>
      <c r="B253" s="10"/>
      <c r="C253" s="10"/>
      <c r="D253" s="63"/>
      <c r="E253" s="10"/>
    </row>
    <row r="254" spans="1:5" x14ac:dyDescent="0.25">
      <c r="A254" s="10"/>
      <c r="B254" s="10"/>
      <c r="C254" s="10"/>
      <c r="D254" s="63"/>
      <c r="E254" s="10"/>
    </row>
    <row r="255" spans="1:5" x14ac:dyDescent="0.25">
      <c r="A255" s="10"/>
      <c r="B255" s="10"/>
      <c r="C255" s="10"/>
      <c r="D255" s="63"/>
      <c r="E255" s="10"/>
    </row>
    <row r="256" spans="1:5" x14ac:dyDescent="0.25">
      <c r="A256" s="10"/>
      <c r="B256" s="10"/>
      <c r="C256" s="10"/>
      <c r="D256" s="63"/>
      <c r="E256" s="10"/>
    </row>
    <row r="257" spans="1:5" x14ac:dyDescent="0.25">
      <c r="A257" s="10"/>
      <c r="B257" s="10"/>
      <c r="C257" s="10"/>
      <c r="D257" s="63"/>
      <c r="E257" s="10"/>
    </row>
    <row r="258" spans="1:5" x14ac:dyDescent="0.25">
      <c r="A258" s="10"/>
      <c r="B258" s="10"/>
      <c r="C258" s="10"/>
      <c r="D258" s="63"/>
      <c r="E258" s="10"/>
    </row>
    <row r="259" spans="1:5" x14ac:dyDescent="0.25">
      <c r="A259" s="10"/>
      <c r="B259" s="10"/>
      <c r="C259" s="10"/>
      <c r="D259" s="63"/>
      <c r="E259" s="10"/>
    </row>
  </sheetData>
  <dataValidations count="1">
    <dataValidation type="list" showInputMessage="1" showErrorMessage="1" sqref="A1:A200">
      <formula1>"引出缺陷,重大缺陷,技术攻关,组织培训,参加培训,文档编写,阶段性出差,售前支持,紧急响应,合理建议,专利申报,表扬信,新人培养,投诉,日报预期,虚假上报绩效,无故旷工,AI代码优化,"</formula1>
    </dataValidation>
  </dataValidation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考核表</vt:lpstr>
      <vt:lpstr>需求</vt:lpstr>
      <vt:lpstr>缺陷</vt:lpstr>
      <vt:lpstr>代码提交记录</vt:lpstr>
      <vt:lpstr>代码评审</vt:lpstr>
      <vt:lpstr>代码迁移-一体化</vt:lpstr>
      <vt:lpstr>项目打包（只作为打包登记）</vt:lpstr>
      <vt:lpstr>加减分类别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2025-04-01T10:48:41Z</dcterms:created>
  <dcterms:modified xsi:type="dcterms:W3CDTF">2025-04-01T10:48:41Z</dcterms:modified>
</cp:coreProperties>
</file>